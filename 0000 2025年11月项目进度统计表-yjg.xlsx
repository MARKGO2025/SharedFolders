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D:\02 JHB\03 工程项目\02 技术审查\2025年\"/>
    </mc:Choice>
  </mc:AlternateContent>
  <xr:revisionPtr revIDLastSave="0" documentId="13_ncr:1_{62D458E4-1B5F-4864-B0F8-22A7CF0097E0}" xr6:coauthVersionLast="47" xr6:coauthVersionMax="47" xr10:uidLastSave="{00000000-0000-0000-0000-000000000000}"/>
  <bookViews>
    <workbookView xWindow="32280" yWindow="-1635" windowWidth="30960" windowHeight="22680" activeTab="2" xr2:uid="{00000000-000D-0000-FFFF-FFFF00000000}"/>
  </bookViews>
  <sheets>
    <sheet name="汇总信息项目列表" sheetId="25" r:id="rId1"/>
    <sheet name="Project List" sheetId="17" r:id="rId2"/>
    <sheet name="Project Plan" sheetId="9" r:id="rId3"/>
    <sheet name="Notes &amp; Inputs" sheetId="14" state="hidden" r:id="rId4"/>
    <sheet name="低风险项目" sheetId="24" r:id="rId5"/>
    <sheet name="TermsOfUse" sheetId="11" state="hidden" r:id="rId6"/>
  </sheets>
  <definedNames>
    <definedName name="_xlnm._FilterDatabase" localSheetId="1" hidden="1">'Project List'!$I$21:$I$22</definedName>
    <definedName name="CCY">'Notes &amp; Inputs'!#REF!</definedName>
    <definedName name="holidays">'Notes &amp; Inputs'!$C$43:$C$47</definedName>
    <definedName name="prevWBS" localSheetId="2">'Project Plan'!$A1048576</definedName>
    <definedName name="_xlnm.Print_Area" localSheetId="2">'Project Plan'!$A$8:$L$52</definedName>
    <definedName name="_xlnm.Print_Titles" localSheetId="2">'Project Plan'!$6:$9</definedName>
    <definedName name="ROLES">'Notes &amp; Inputs'!$C$21:$C$40</definedName>
    <definedName name="START">'Notes &amp; Inputs'!$C$18</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1" i="9" l="1"/>
  <c r="H40" i="9"/>
  <c r="W20" i="24"/>
  <c r="W21" i="24"/>
  <c r="H60" i="9"/>
  <c r="H39" i="9"/>
  <c r="H38" i="9"/>
  <c r="H37" i="9"/>
  <c r="W19" i="24"/>
  <c r="W18" i="24"/>
  <c r="W16" i="24" l="1"/>
  <c r="O17" i="24"/>
  <c r="I1" i="24" l="1"/>
  <c r="Q1" i="24"/>
  <c r="W15" i="24"/>
  <c r="W14" i="24"/>
  <c r="H35" i="9"/>
  <c r="H34" i="9"/>
  <c r="H33" i="9"/>
  <c r="W4" i="24"/>
  <c r="R4" i="24" s="1"/>
  <c r="X4" i="24"/>
  <c r="W5" i="24"/>
  <c r="X5" i="24"/>
  <c r="W6" i="24"/>
  <c r="X6" i="24"/>
  <c r="W7" i="24"/>
  <c r="X7" i="24"/>
  <c r="W8" i="24"/>
  <c r="X8" i="24"/>
  <c r="W9" i="24"/>
  <c r="X9" i="24"/>
  <c r="W10" i="24"/>
  <c r="X10" i="24"/>
  <c r="W11" i="24"/>
  <c r="X11" i="24"/>
  <c r="W12" i="24"/>
  <c r="X12" i="24"/>
  <c r="W13" i="24"/>
  <c r="S13" i="24" s="1"/>
  <c r="X13" i="24"/>
  <c r="Q21" i="24" l="1"/>
  <c r="Q20" i="24"/>
  <c r="S4" i="24"/>
  <c r="Q4" i="24"/>
  <c r="Q13" i="24"/>
  <c r="P4" i="24"/>
  <c r="P13" i="24"/>
  <c r="R13" i="24"/>
  <c r="X3" i="24"/>
  <c r="W3" i="24"/>
  <c r="V1" i="24"/>
  <c r="U1" i="24"/>
  <c r="T1" i="24"/>
  <c r="S1" i="24"/>
  <c r="R1" i="24"/>
  <c r="P1" i="24"/>
  <c r="O1" i="24"/>
  <c r="N1" i="24"/>
  <c r="M1" i="24"/>
  <c r="L1" i="24"/>
  <c r="K1" i="24"/>
  <c r="J1" i="24"/>
  <c r="H1" i="24"/>
  <c r="G1" i="24"/>
  <c r="F1" i="24"/>
  <c r="E1" i="24"/>
  <c r="D1" i="24"/>
  <c r="C1" i="24"/>
  <c r="B1" i="24"/>
  <c r="A1" i="24"/>
  <c r="F7" i="9"/>
  <c r="E7" i="9"/>
  <c r="D7" i="9"/>
  <c r="C7" i="9"/>
  <c r="H42" i="9"/>
  <c r="H36" i="9"/>
  <c r="H32" i="9"/>
  <c r="H31" i="9"/>
  <c r="AJ1" i="17"/>
  <c r="AI1" i="17"/>
  <c r="AH1" i="17"/>
  <c r="AG1" i="17"/>
  <c r="AF1" i="17"/>
  <c r="AE1" i="17"/>
  <c r="AC1" i="17"/>
  <c r="AB1" i="17"/>
  <c r="AA1" i="17"/>
  <c r="Z1" i="17"/>
  <c r="Y1" i="17"/>
  <c r="X1" i="17"/>
  <c r="W1" i="17"/>
  <c r="V1" i="17"/>
  <c r="U1" i="17"/>
  <c r="T1" i="17"/>
  <c r="S1" i="17"/>
  <c r="R1" i="17"/>
  <c r="Q1" i="17"/>
  <c r="P1" i="17"/>
  <c r="O1" i="17"/>
  <c r="N1" i="17"/>
  <c r="M1" i="17"/>
  <c r="L1" i="17"/>
  <c r="K1" i="17"/>
  <c r="J1" i="17"/>
  <c r="I1" i="17"/>
  <c r="H1" i="17"/>
  <c r="G1" i="17"/>
  <c r="F1" i="17"/>
  <c r="E1" i="17"/>
  <c r="D1" i="17"/>
  <c r="C1" i="17"/>
  <c r="B1" i="17"/>
  <c r="A1" i="17"/>
  <c r="Q9" i="24" s="1"/>
  <c r="AD1" i="17"/>
  <c r="F39" i="9" l="1"/>
  <c r="G39" i="9" s="1"/>
  <c r="F41" i="9"/>
  <c r="G41" i="9" s="1"/>
  <c r="F40" i="9"/>
  <c r="G40" i="9" s="1"/>
  <c r="E41" i="9"/>
  <c r="E40" i="9"/>
  <c r="C39" i="9"/>
  <c r="C40" i="9"/>
  <c r="C41" i="9"/>
  <c r="D39" i="9"/>
  <c r="D40" i="9"/>
  <c r="D41" i="9"/>
  <c r="P21" i="24"/>
  <c r="P20" i="24"/>
  <c r="H21" i="24"/>
  <c r="O21" i="24" s="1"/>
  <c r="H20" i="24"/>
  <c r="O20" i="24" s="1"/>
  <c r="R21" i="24"/>
  <c r="R20" i="24"/>
  <c r="S21" i="24"/>
  <c r="S20" i="24"/>
  <c r="B21" i="24"/>
  <c r="B20" i="24"/>
  <c r="K21" i="24"/>
  <c r="K20" i="24"/>
  <c r="T21" i="24"/>
  <c r="T20" i="24"/>
  <c r="J21" i="24"/>
  <c r="J20" i="24"/>
  <c r="C21" i="24"/>
  <c r="C20" i="24"/>
  <c r="L21" i="24"/>
  <c r="L20" i="24"/>
  <c r="U21" i="24"/>
  <c r="U20" i="24"/>
  <c r="F21" i="24"/>
  <c r="F20" i="24"/>
  <c r="G21" i="24"/>
  <c r="M21" i="24" s="1"/>
  <c r="G20" i="24"/>
  <c r="M20" i="24" s="1"/>
  <c r="D21" i="24"/>
  <c r="D20" i="24"/>
  <c r="E21" i="24"/>
  <c r="E20" i="24"/>
  <c r="S16" i="24"/>
  <c r="S19" i="24"/>
  <c r="S18" i="24"/>
  <c r="Q19" i="24"/>
  <c r="R16" i="24"/>
  <c r="R19" i="24"/>
  <c r="R18" i="24"/>
  <c r="Q18" i="24"/>
  <c r="E39" i="9"/>
  <c r="P16" i="24"/>
  <c r="P19" i="24"/>
  <c r="P18" i="24"/>
  <c r="Q16" i="24"/>
  <c r="D37" i="9"/>
  <c r="D38" i="9"/>
  <c r="E38" i="9"/>
  <c r="E37" i="9"/>
  <c r="C37" i="9"/>
  <c r="C38" i="9"/>
  <c r="F38" i="9"/>
  <c r="G38" i="9" s="1"/>
  <c r="F37" i="9"/>
  <c r="G37" i="9" s="1"/>
  <c r="H18" i="24"/>
  <c r="O18" i="24" s="1"/>
  <c r="O19" i="24"/>
  <c r="J18" i="24"/>
  <c r="J19" i="24"/>
  <c r="J17" i="24"/>
  <c r="B18" i="24"/>
  <c r="B19" i="24"/>
  <c r="B17" i="24"/>
  <c r="K18" i="24"/>
  <c r="K19" i="24"/>
  <c r="K17" i="24"/>
  <c r="T19" i="24"/>
  <c r="T18" i="24"/>
  <c r="T17" i="24"/>
  <c r="G18" i="24"/>
  <c r="M18" i="24" s="1"/>
  <c r="G19" i="24"/>
  <c r="M19" i="24" s="1"/>
  <c r="G17" i="24"/>
  <c r="M17" i="24" s="1"/>
  <c r="C19" i="24"/>
  <c r="C18" i="24"/>
  <c r="C17" i="24"/>
  <c r="L18" i="24"/>
  <c r="L19" i="24"/>
  <c r="L17" i="24"/>
  <c r="U19" i="24"/>
  <c r="U18" i="24"/>
  <c r="U17" i="24"/>
  <c r="F18" i="24"/>
  <c r="F19" i="24"/>
  <c r="F17" i="24"/>
  <c r="D19" i="24"/>
  <c r="D18" i="24"/>
  <c r="D17" i="24"/>
  <c r="E19" i="24"/>
  <c r="E18" i="24"/>
  <c r="E17" i="24"/>
  <c r="S11" i="24"/>
  <c r="Q10" i="24"/>
  <c r="Q11" i="24"/>
  <c r="C11" i="24"/>
  <c r="L11" i="24"/>
  <c r="Q7" i="24"/>
  <c r="Q15" i="24"/>
  <c r="Q3" i="24"/>
  <c r="Q8" i="24"/>
  <c r="Q14" i="24"/>
  <c r="P5" i="24"/>
  <c r="Q12" i="24"/>
  <c r="Q5" i="24"/>
  <c r="F36" i="9"/>
  <c r="G36" i="9" s="1"/>
  <c r="H14" i="24"/>
  <c r="O14" i="24" s="1"/>
  <c r="R11" i="24"/>
  <c r="Q6" i="24"/>
  <c r="L3" i="24"/>
  <c r="S14" i="24"/>
  <c r="R10" i="24"/>
  <c r="P8" i="24"/>
  <c r="F15" i="24"/>
  <c r="F8" i="24"/>
  <c r="F4" i="24"/>
  <c r="F13" i="24"/>
  <c r="F12" i="24"/>
  <c r="F7" i="24"/>
  <c r="F9" i="24"/>
  <c r="F16" i="24"/>
  <c r="F14" i="24"/>
  <c r="F10" i="24"/>
  <c r="F6" i="24"/>
  <c r="F5" i="24"/>
  <c r="D11" i="24"/>
  <c r="D9" i="24"/>
  <c r="D8" i="24"/>
  <c r="D4" i="24"/>
  <c r="D5" i="24"/>
  <c r="D15" i="24"/>
  <c r="D10" i="24"/>
  <c r="D13" i="24"/>
  <c r="D6" i="24"/>
  <c r="D12" i="24"/>
  <c r="D7" i="24"/>
  <c r="D16" i="24"/>
  <c r="D14" i="24"/>
  <c r="E9" i="24"/>
  <c r="E5" i="24"/>
  <c r="E13" i="24"/>
  <c r="E15" i="24"/>
  <c r="E8" i="24"/>
  <c r="E4" i="24"/>
  <c r="E12" i="24"/>
  <c r="E7" i="24"/>
  <c r="E16" i="24"/>
  <c r="E14" i="24"/>
  <c r="E10" i="24"/>
  <c r="E6" i="24"/>
  <c r="C3" i="24"/>
  <c r="P12" i="24"/>
  <c r="R9" i="24"/>
  <c r="R15" i="24"/>
  <c r="S6" i="24"/>
  <c r="R14" i="24"/>
  <c r="P9" i="24"/>
  <c r="S12" i="24"/>
  <c r="P11" i="24"/>
  <c r="G13" i="24"/>
  <c r="M13" i="24" s="1"/>
  <c r="G8" i="24"/>
  <c r="M8" i="24" s="1"/>
  <c r="G4" i="24"/>
  <c r="M4" i="24" s="1"/>
  <c r="G7" i="24"/>
  <c r="M7" i="24" s="1"/>
  <c r="G12" i="24"/>
  <c r="M12" i="24" s="1"/>
  <c r="G16" i="24"/>
  <c r="M16" i="24" s="1"/>
  <c r="G14" i="24"/>
  <c r="M14" i="24" s="1"/>
  <c r="G15" i="24"/>
  <c r="M15" i="24" s="1"/>
  <c r="G10" i="24"/>
  <c r="M10" i="24" s="1"/>
  <c r="G6" i="24"/>
  <c r="M6" i="24" s="1"/>
  <c r="G9" i="24"/>
  <c r="M9" i="24" s="1"/>
  <c r="G5" i="24"/>
  <c r="M5" i="24" s="1"/>
  <c r="H12" i="24"/>
  <c r="O12" i="24" s="1"/>
  <c r="H16" i="24"/>
  <c r="O16" i="24" s="1"/>
  <c r="H7" i="24"/>
  <c r="O7" i="24" s="1"/>
  <c r="H10" i="24"/>
  <c r="O10" i="24" s="1"/>
  <c r="H4" i="24"/>
  <c r="O4" i="24" s="1"/>
  <c r="H6" i="24"/>
  <c r="O6" i="24" s="1"/>
  <c r="H13" i="24"/>
  <c r="O13" i="24" s="1"/>
  <c r="H8" i="24"/>
  <c r="O8" i="24" s="1"/>
  <c r="H9" i="24"/>
  <c r="O9" i="24" s="1"/>
  <c r="H5" i="24"/>
  <c r="O5" i="24" s="1"/>
  <c r="H15" i="24"/>
  <c r="O15" i="24" s="1"/>
  <c r="P14" i="24"/>
  <c r="R6" i="24"/>
  <c r="S5" i="24"/>
  <c r="S15" i="24"/>
  <c r="J12" i="24"/>
  <c r="J7" i="24"/>
  <c r="J10" i="24"/>
  <c r="J16" i="24"/>
  <c r="J14" i="24"/>
  <c r="J6" i="24"/>
  <c r="J9" i="24"/>
  <c r="J5" i="24"/>
  <c r="J15" i="24"/>
  <c r="J13" i="24"/>
  <c r="J8" i="24"/>
  <c r="J4" i="24"/>
  <c r="P15" i="24"/>
  <c r="S8" i="24"/>
  <c r="S7" i="24"/>
  <c r="B16" i="24"/>
  <c r="B14" i="24"/>
  <c r="B10" i="24"/>
  <c r="B6" i="24"/>
  <c r="B7" i="24"/>
  <c r="B9" i="24"/>
  <c r="B5" i="24"/>
  <c r="B12" i="24"/>
  <c r="B15" i="24"/>
  <c r="B13" i="24"/>
  <c r="B8" i="24"/>
  <c r="B4" i="24"/>
  <c r="K16" i="24"/>
  <c r="K14" i="24"/>
  <c r="K6" i="24"/>
  <c r="K10" i="24"/>
  <c r="K9" i="24"/>
  <c r="K5" i="24"/>
  <c r="K12" i="24"/>
  <c r="K7" i="24"/>
  <c r="K15" i="24"/>
  <c r="K13" i="24"/>
  <c r="K8" i="24"/>
  <c r="K4" i="24"/>
  <c r="T12" i="24"/>
  <c r="T3" i="24"/>
  <c r="T15" i="24"/>
  <c r="T11" i="24"/>
  <c r="T4" i="24"/>
  <c r="T9" i="24"/>
  <c r="T6" i="24"/>
  <c r="T8" i="24"/>
  <c r="T10" i="24"/>
  <c r="T5" i="24"/>
  <c r="T7" i="24"/>
  <c r="T16" i="24"/>
  <c r="T14" i="24"/>
  <c r="T13" i="24"/>
  <c r="S10" i="24"/>
  <c r="S9" i="24"/>
  <c r="R5" i="24"/>
  <c r="C10" i="24"/>
  <c r="C6" i="24"/>
  <c r="C9" i="24"/>
  <c r="C5" i="24"/>
  <c r="C15" i="24"/>
  <c r="C16" i="24"/>
  <c r="C13" i="24"/>
  <c r="C8" i="24"/>
  <c r="C4" i="24"/>
  <c r="C12" i="24"/>
  <c r="C7" i="24"/>
  <c r="C14" i="24"/>
  <c r="L10" i="24"/>
  <c r="L6" i="24"/>
  <c r="L5" i="24"/>
  <c r="L15" i="24"/>
  <c r="L9" i="24"/>
  <c r="L14" i="24"/>
  <c r="L13" i="24"/>
  <c r="L8" i="24"/>
  <c r="L4" i="24"/>
  <c r="L12" i="24"/>
  <c r="L7" i="24"/>
  <c r="L16" i="24"/>
  <c r="U9" i="24"/>
  <c r="U8" i="24"/>
  <c r="U15" i="24"/>
  <c r="U11" i="24"/>
  <c r="U6" i="24"/>
  <c r="U5" i="24"/>
  <c r="U4" i="24"/>
  <c r="U3" i="24"/>
  <c r="U12" i="24"/>
  <c r="U7" i="24"/>
  <c r="U16" i="24"/>
  <c r="U14" i="24"/>
  <c r="U13" i="24"/>
  <c r="U10" i="24"/>
  <c r="R8" i="24"/>
  <c r="P6" i="24"/>
  <c r="R7" i="24"/>
  <c r="P7" i="24"/>
  <c r="R12" i="24"/>
  <c r="P10" i="24"/>
  <c r="C23" i="9"/>
  <c r="C34" i="9"/>
  <c r="C33" i="9"/>
  <c r="C35" i="9"/>
  <c r="F31" i="9"/>
  <c r="G31" i="9" s="1"/>
  <c r="F23" i="9"/>
  <c r="F42" i="9"/>
  <c r="G42" i="9" s="1"/>
  <c r="D25" i="9"/>
  <c r="D33" i="9"/>
  <c r="D35" i="9"/>
  <c r="D34" i="9"/>
  <c r="F30" i="9"/>
  <c r="C36" i="9"/>
  <c r="S3" i="24"/>
  <c r="R3" i="24"/>
  <c r="P3" i="24"/>
  <c r="E23" i="9"/>
  <c r="E35" i="9"/>
  <c r="E34" i="9"/>
  <c r="E33" i="9"/>
  <c r="F32" i="9"/>
  <c r="G32" i="9" s="1"/>
  <c r="F24" i="9"/>
  <c r="E42" i="9"/>
  <c r="F29" i="9"/>
  <c r="D36" i="9"/>
  <c r="E30" i="9"/>
  <c r="F28" i="9"/>
  <c r="E36" i="9"/>
  <c r="E29" i="9"/>
  <c r="F27" i="9"/>
  <c r="F35" i="9"/>
  <c r="G35" i="9" s="1"/>
  <c r="F34" i="9"/>
  <c r="G34" i="9" s="1"/>
  <c r="F33" i="9"/>
  <c r="G33" i="9" s="1"/>
  <c r="F26" i="9"/>
  <c r="C42" i="9"/>
  <c r="F22" i="9"/>
  <c r="F25" i="9"/>
  <c r="D42" i="9"/>
  <c r="E3" i="24"/>
  <c r="E11" i="24"/>
  <c r="F3" i="24"/>
  <c r="F11" i="24"/>
  <c r="G3" i="24"/>
  <c r="M3" i="24" s="1"/>
  <c r="G11" i="24"/>
  <c r="M11" i="24" s="1"/>
  <c r="H3" i="24"/>
  <c r="O3" i="24" s="1"/>
  <c r="H11" i="24"/>
  <c r="O11" i="24" s="1"/>
  <c r="J11" i="24"/>
  <c r="J3" i="24"/>
  <c r="B3" i="24"/>
  <c r="K3" i="24"/>
  <c r="B11" i="24"/>
  <c r="K11" i="24"/>
  <c r="D3" i="24"/>
  <c r="E28" i="9"/>
  <c r="E27" i="9"/>
  <c r="E26" i="9"/>
  <c r="E22" i="9"/>
  <c r="E25" i="9"/>
  <c r="E32" i="9"/>
  <c r="E24" i="9"/>
  <c r="E31" i="9"/>
  <c r="D27" i="9"/>
  <c r="D28" i="9"/>
  <c r="D29" i="9"/>
  <c r="D26" i="9"/>
  <c r="D30" i="9"/>
  <c r="D23" i="9"/>
  <c r="D31" i="9"/>
  <c r="D22" i="9"/>
  <c r="D24" i="9"/>
  <c r="D32" i="9"/>
  <c r="C29" i="9"/>
  <c r="C25" i="9"/>
  <c r="C30" i="9"/>
  <c r="C22" i="9"/>
  <c r="C31" i="9"/>
  <c r="C27" i="9"/>
  <c r="C32" i="9"/>
  <c r="C26" i="9"/>
  <c r="C24" i="9"/>
  <c r="C28" i="9"/>
  <c r="H52" i="9" l="1"/>
  <c r="H50" i="9"/>
  <c r="H48" i="9"/>
  <c r="H47" i="9"/>
  <c r="H45" i="9"/>
  <c r="H30" i="9"/>
  <c r="H29" i="9"/>
  <c r="H28" i="9"/>
  <c r="H27" i="9"/>
  <c r="H26" i="9"/>
  <c r="H25" i="9"/>
  <c r="H24" i="9"/>
  <c r="H23" i="9"/>
  <c r="H22" i="9"/>
  <c r="H21" i="9"/>
  <c r="H20" i="9"/>
  <c r="H19" i="9"/>
  <c r="H18" i="9"/>
  <c r="H17" i="9"/>
  <c r="H16" i="9"/>
  <c r="H15" i="9"/>
  <c r="H14" i="9"/>
  <c r="H13" i="9"/>
  <c r="H12" i="9"/>
  <c r="H11" i="9"/>
  <c r="G45" i="9" l="1"/>
  <c r="G18" i="9" l="1"/>
  <c r="G23" i="9"/>
  <c r="G24" i="9"/>
  <c r="G25" i="9"/>
  <c r="G26" i="9"/>
  <c r="G27" i="9"/>
  <c r="G28" i="9"/>
  <c r="G29" i="9"/>
  <c r="G30" i="9"/>
  <c r="G22" i="9"/>
  <c r="G17" i="9" l="1"/>
  <c r="G16" i="9"/>
  <c r="G14" i="9" l="1"/>
  <c r="G13" i="9"/>
  <c r="G12" i="9"/>
  <c r="G11" i="9"/>
  <c r="G15" i="9"/>
  <c r="A10" i="9"/>
  <c r="A11" i="9" s="1"/>
  <c r="A12" i="9" s="1"/>
  <c r="BY8" i="9"/>
  <c r="N8" i="9"/>
  <c r="N2" i="9"/>
  <c r="N1" i="9"/>
  <c r="BY41" i="9" l="1"/>
  <c r="BY40" i="9"/>
  <c r="N39" i="9"/>
  <c r="N40" i="9"/>
  <c r="N41" i="9"/>
  <c r="BY39" i="9"/>
  <c r="BY37" i="9"/>
  <c r="BY38" i="9"/>
  <c r="N37" i="9"/>
  <c r="N38" i="9"/>
  <c r="BY35" i="9"/>
  <c r="BY33" i="9"/>
  <c r="BY34" i="9"/>
  <c r="N35" i="9"/>
  <c r="N34" i="9"/>
  <c r="N33" i="9"/>
  <c r="BY42" i="9"/>
  <c r="BY32" i="9"/>
  <c r="BY36" i="9"/>
  <c r="BY31" i="9"/>
  <c r="N31" i="9"/>
  <c r="N42" i="9"/>
  <c r="N36" i="9"/>
  <c r="N32" i="9"/>
  <c r="BY45" i="9"/>
  <c r="BY44" i="9"/>
  <c r="M45" i="9"/>
  <c r="N44" i="9"/>
  <c r="BY13" i="9"/>
  <c r="BY30" i="9"/>
  <c r="BY28" i="9"/>
  <c r="BY26" i="9"/>
  <c r="BY24" i="9"/>
  <c r="BY29" i="9"/>
  <c r="BY27" i="9"/>
  <c r="BY25" i="9"/>
  <c r="BY23" i="9"/>
  <c r="BY17" i="9"/>
  <c r="BY16" i="9"/>
  <c r="N17" i="9"/>
  <c r="N25" i="9"/>
  <c r="N30" i="9"/>
  <c r="N27" i="9"/>
  <c r="N24" i="9"/>
  <c r="N29" i="9"/>
  <c r="N26" i="9"/>
  <c r="N28" i="9"/>
  <c r="N23" i="9"/>
  <c r="N13" i="9"/>
  <c r="N16" i="9"/>
  <c r="A13" i="9"/>
  <c r="A14" i="9" s="1"/>
  <c r="A15" i="9" s="1"/>
  <c r="N47" i="9"/>
  <c r="BY46" i="9"/>
  <c r="BY47" i="9"/>
  <c r="N46" i="9"/>
  <c r="BY7" i="9"/>
  <c r="BY9" i="9"/>
  <c r="N6" i="9"/>
  <c r="N12" i="9"/>
  <c r="BY6" i="9"/>
  <c r="BY14" i="9"/>
  <c r="N7" i="9"/>
  <c r="O8" i="9"/>
  <c r="N14" i="9"/>
  <c r="N10" i="9"/>
  <c r="BY11" i="9"/>
  <c r="M11" i="9"/>
  <c r="BY52" i="9"/>
  <c r="BY50" i="9"/>
  <c r="BY15" i="9"/>
  <c r="N51" i="9"/>
  <c r="N52" i="9"/>
  <c r="N50" i="9"/>
  <c r="N49" i="9"/>
  <c r="N15" i="9"/>
  <c r="BZ8" i="9"/>
  <c r="BY12" i="9"/>
  <c r="N9" i="9"/>
  <c r="BY10" i="9"/>
  <c r="BZ40" i="9" l="1"/>
  <c r="BZ41" i="9"/>
  <c r="O39" i="9"/>
  <c r="O41" i="9"/>
  <c r="O40" i="9"/>
  <c r="BZ39" i="9"/>
  <c r="BZ37" i="9"/>
  <c r="BZ38" i="9"/>
  <c r="O38" i="9"/>
  <c r="O37" i="9"/>
  <c r="BZ34" i="9"/>
  <c r="BZ35" i="9"/>
  <c r="BZ33" i="9"/>
  <c r="O35" i="9"/>
  <c r="O34" i="9"/>
  <c r="O33" i="9"/>
  <c r="BZ36" i="9"/>
  <c r="BZ31" i="9"/>
  <c r="BZ42" i="9"/>
  <c r="BZ32" i="9"/>
  <c r="O31" i="9"/>
  <c r="O42" i="9"/>
  <c r="O36" i="9"/>
  <c r="O32" i="9"/>
  <c r="BZ44" i="9"/>
  <c r="BZ45" i="9"/>
  <c r="O45" i="9"/>
  <c r="O44" i="9"/>
  <c r="BZ13" i="9"/>
  <c r="BZ29" i="9"/>
  <c r="BZ27" i="9"/>
  <c r="BZ25" i="9"/>
  <c r="BZ23" i="9"/>
  <c r="BZ30" i="9"/>
  <c r="BZ28" i="9"/>
  <c r="BZ26" i="9"/>
  <c r="BZ24" i="9"/>
  <c r="BZ17" i="9"/>
  <c r="BZ16" i="9"/>
  <c r="O30" i="9"/>
  <c r="O27" i="9"/>
  <c r="O24" i="9"/>
  <c r="O29" i="9"/>
  <c r="O26" i="9"/>
  <c r="O23" i="9"/>
  <c r="O25" i="9"/>
  <c r="O28" i="9"/>
  <c r="O16" i="9"/>
  <c r="O17" i="9"/>
  <c r="A16" i="9"/>
  <c r="O13" i="9"/>
  <c r="O10" i="9"/>
  <c r="O46" i="9"/>
  <c r="O47" i="9"/>
  <c r="BZ46" i="9"/>
  <c r="BZ47" i="9"/>
  <c r="O11" i="9"/>
  <c r="O15" i="9"/>
  <c r="O14" i="9"/>
  <c r="O12" i="9"/>
  <c r="O49" i="9"/>
  <c r="O52" i="9"/>
  <c r="P8" i="9"/>
  <c r="O50" i="9"/>
  <c r="O51" i="9"/>
  <c r="O9" i="9"/>
  <c r="BZ52" i="9"/>
  <c r="BZ50" i="9"/>
  <c r="BZ15" i="9"/>
  <c r="BZ14" i="9"/>
  <c r="BZ9" i="9"/>
  <c r="CA8" i="9"/>
  <c r="BZ12" i="9"/>
  <c r="BZ10" i="9"/>
  <c r="BZ11" i="9"/>
  <c r="CA41" i="9" l="1"/>
  <c r="CA40" i="9"/>
  <c r="P39" i="9"/>
  <c r="P40" i="9"/>
  <c r="P41" i="9"/>
  <c r="CA39" i="9"/>
  <c r="CA37" i="9"/>
  <c r="CA38" i="9"/>
  <c r="P37" i="9"/>
  <c r="P38" i="9"/>
  <c r="CA34" i="9"/>
  <c r="CA35" i="9"/>
  <c r="CA33" i="9"/>
  <c r="P34" i="9"/>
  <c r="P33" i="9"/>
  <c r="P35" i="9"/>
  <c r="CA42" i="9"/>
  <c r="CA31" i="9"/>
  <c r="CA32" i="9"/>
  <c r="CA36" i="9"/>
  <c r="P31" i="9"/>
  <c r="P32" i="9"/>
  <c r="P42" i="9"/>
  <c r="P36" i="9"/>
  <c r="CA44" i="9"/>
  <c r="CA45" i="9"/>
  <c r="P44" i="9"/>
  <c r="P45" i="9"/>
  <c r="CA13" i="9"/>
  <c r="CA26" i="9"/>
  <c r="CA29" i="9"/>
  <c r="CA27" i="9"/>
  <c r="CA25" i="9"/>
  <c r="CA23" i="9"/>
  <c r="CA28" i="9"/>
  <c r="CA30" i="9"/>
  <c r="CA24" i="9"/>
  <c r="CA17" i="9"/>
  <c r="CA16" i="9"/>
  <c r="P27" i="9"/>
  <c r="P24" i="9"/>
  <c r="P29" i="9"/>
  <c r="P26" i="9"/>
  <c r="P23" i="9"/>
  <c r="P28" i="9"/>
  <c r="P30" i="9"/>
  <c r="P25" i="9"/>
  <c r="A17" i="9"/>
  <c r="P16" i="9"/>
  <c r="P17" i="9"/>
  <c r="P13" i="9"/>
  <c r="P49" i="9"/>
  <c r="P9" i="9"/>
  <c r="P51" i="9"/>
  <c r="Q8" i="9"/>
  <c r="P10" i="9"/>
  <c r="CA47" i="9"/>
  <c r="CA46" i="9"/>
  <c r="P50" i="9"/>
  <c r="P46" i="9"/>
  <c r="P47" i="9"/>
  <c r="P14" i="9"/>
  <c r="P52" i="9"/>
  <c r="P11" i="9"/>
  <c r="P15" i="9"/>
  <c r="P12" i="9"/>
  <c r="CA52" i="9"/>
  <c r="CA50" i="9"/>
  <c r="CA9" i="9"/>
  <c r="CA12" i="9"/>
  <c r="CB8" i="9"/>
  <c r="CA11" i="9"/>
  <c r="CA15" i="9"/>
  <c r="CA14" i="9"/>
  <c r="CA10" i="9"/>
  <c r="Q39" i="9" l="1"/>
  <c r="Q40" i="9"/>
  <c r="Q41" i="9"/>
  <c r="CB40" i="9"/>
  <c r="CB41" i="9"/>
  <c r="CB38" i="9"/>
  <c r="CB39" i="9"/>
  <c r="CB37" i="9"/>
  <c r="Q38" i="9"/>
  <c r="Q37" i="9"/>
  <c r="CB34" i="9"/>
  <c r="CB35" i="9"/>
  <c r="CB33" i="9"/>
  <c r="Q33" i="9"/>
  <c r="Q35" i="9"/>
  <c r="Q34" i="9"/>
  <c r="CB31" i="9"/>
  <c r="CB36" i="9"/>
  <c r="CB32" i="9"/>
  <c r="CB42" i="9"/>
  <c r="Q31" i="9"/>
  <c r="Q42" i="9"/>
  <c r="Q36" i="9"/>
  <c r="Q32" i="9"/>
  <c r="CB44" i="9"/>
  <c r="CB45" i="9"/>
  <c r="Q44" i="9"/>
  <c r="Q45" i="9"/>
  <c r="CB13" i="9"/>
  <c r="CB27" i="9"/>
  <c r="CB29" i="9"/>
  <c r="CB30" i="9"/>
  <c r="CB28" i="9"/>
  <c r="CB26" i="9"/>
  <c r="CB24" i="9"/>
  <c r="CB25" i="9"/>
  <c r="CB23" i="9"/>
  <c r="CB16" i="9"/>
  <c r="CB17" i="9"/>
  <c r="Q17" i="9"/>
  <c r="Q24" i="9"/>
  <c r="Q29" i="9"/>
  <c r="Q26" i="9"/>
  <c r="Q23" i="9"/>
  <c r="Q28" i="9"/>
  <c r="Q25" i="9"/>
  <c r="Q27" i="9"/>
  <c r="Q30" i="9"/>
  <c r="Q12" i="9"/>
  <c r="Q16" i="9"/>
  <c r="Q52" i="9"/>
  <c r="Q13" i="9"/>
  <c r="Q11" i="9"/>
  <c r="Q50" i="9"/>
  <c r="Q51" i="9"/>
  <c r="R8" i="9"/>
  <c r="Q47" i="9"/>
  <c r="Q15" i="9"/>
  <c r="Q49" i="9"/>
  <c r="Q9" i="9"/>
  <c r="Q46" i="9"/>
  <c r="Q14" i="9"/>
  <c r="Q10" i="9"/>
  <c r="CB46" i="9"/>
  <c r="CB47" i="9"/>
  <c r="CB52" i="9"/>
  <c r="CB50" i="9"/>
  <c r="CB15" i="9"/>
  <c r="CB9" i="9"/>
  <c r="CC8" i="9"/>
  <c r="CB11" i="9"/>
  <c r="CB12" i="9"/>
  <c r="CB14" i="9"/>
  <c r="CB10" i="9"/>
  <c r="R39" i="9" l="1"/>
  <c r="R41" i="9"/>
  <c r="R40" i="9"/>
  <c r="CC41" i="9"/>
  <c r="CC40" i="9"/>
  <c r="CC38" i="9"/>
  <c r="CC39" i="9"/>
  <c r="CC37" i="9"/>
  <c r="R38" i="9"/>
  <c r="R37" i="9"/>
  <c r="CC35" i="9"/>
  <c r="CC34" i="9"/>
  <c r="CC33" i="9"/>
  <c r="R35" i="9"/>
  <c r="R34" i="9"/>
  <c r="R33" i="9"/>
  <c r="CC31" i="9"/>
  <c r="CC42" i="9"/>
  <c r="CC32" i="9"/>
  <c r="CC36" i="9"/>
  <c r="R42" i="9"/>
  <c r="R36" i="9"/>
  <c r="R32" i="9"/>
  <c r="R45" i="9"/>
  <c r="R31" i="9"/>
  <c r="CC44" i="9"/>
  <c r="CC45" i="9"/>
  <c r="CC13" i="9"/>
  <c r="CC29" i="9"/>
  <c r="CC27" i="9"/>
  <c r="CC25" i="9"/>
  <c r="CC23" i="9"/>
  <c r="CC30" i="9"/>
  <c r="CC28" i="9"/>
  <c r="CC26" i="9"/>
  <c r="CC24" i="9"/>
  <c r="CC17" i="9"/>
  <c r="CC16" i="9"/>
  <c r="R17" i="9"/>
  <c r="R29" i="9"/>
  <c r="R26" i="9"/>
  <c r="R23" i="9"/>
  <c r="R28" i="9"/>
  <c r="R25" i="9"/>
  <c r="R30" i="9"/>
  <c r="R24" i="9"/>
  <c r="R27" i="9"/>
  <c r="R13" i="9"/>
  <c r="R16" i="9"/>
  <c r="S8" i="9"/>
  <c r="R51" i="9"/>
  <c r="R50" i="9"/>
  <c r="R49" i="9"/>
  <c r="R12" i="9"/>
  <c r="R15" i="9"/>
  <c r="R52" i="9"/>
  <c r="R47" i="9"/>
  <c r="R9" i="9"/>
  <c r="R14" i="9"/>
  <c r="R11" i="9"/>
  <c r="R46" i="9"/>
  <c r="CC46" i="9"/>
  <c r="CC47" i="9"/>
  <c r="CC52" i="9"/>
  <c r="CC50" i="9"/>
  <c r="CC15" i="9"/>
  <c r="CD8" i="9"/>
  <c r="CC11" i="9"/>
  <c r="CC14" i="9"/>
  <c r="CC12" i="9"/>
  <c r="CC10" i="9"/>
  <c r="CC9" i="9"/>
  <c r="CD41" i="9" l="1"/>
  <c r="CD40" i="9"/>
  <c r="S39" i="9"/>
  <c r="S41" i="9"/>
  <c r="S40" i="9"/>
  <c r="CD38" i="9"/>
  <c r="CD39" i="9"/>
  <c r="CD37" i="9"/>
  <c r="S38" i="9"/>
  <c r="S37" i="9"/>
  <c r="CD35" i="9"/>
  <c r="CD33" i="9"/>
  <c r="CD34" i="9"/>
  <c r="S35" i="9"/>
  <c r="S34" i="9"/>
  <c r="S33" i="9"/>
  <c r="CD31" i="9"/>
  <c r="CD32" i="9"/>
  <c r="CD36" i="9"/>
  <c r="CD42" i="9"/>
  <c r="S31" i="9"/>
  <c r="S42" i="9"/>
  <c r="S36" i="9"/>
  <c r="S32" i="9"/>
  <c r="CD45" i="9"/>
  <c r="CD44" i="9"/>
  <c r="S46" i="9"/>
  <c r="S45" i="9"/>
  <c r="S50" i="9"/>
  <c r="S49" i="9"/>
  <c r="CD13" i="9"/>
  <c r="CD30" i="9"/>
  <c r="CD28" i="9"/>
  <c r="CD26" i="9"/>
  <c r="CD24" i="9"/>
  <c r="CD29" i="9"/>
  <c r="CD27" i="9"/>
  <c r="CD25" i="9"/>
  <c r="CD23" i="9"/>
  <c r="CD16" i="9"/>
  <c r="CD17" i="9"/>
  <c r="S11" i="9"/>
  <c r="S17" i="9"/>
  <c r="S26" i="9"/>
  <c r="S23" i="9"/>
  <c r="S28" i="9"/>
  <c r="S25" i="9"/>
  <c r="S30" i="9"/>
  <c r="S27" i="9"/>
  <c r="S29" i="9"/>
  <c r="S24" i="9"/>
  <c r="S47" i="9"/>
  <c r="S15" i="9"/>
  <c r="S51" i="9"/>
  <c r="T8" i="9"/>
  <c r="S13" i="9"/>
  <c r="S16" i="9"/>
  <c r="S12" i="9"/>
  <c r="S9" i="9"/>
  <c r="S14" i="9"/>
  <c r="S52" i="9"/>
  <c r="CD47" i="9"/>
  <c r="CD46" i="9"/>
  <c r="CD52" i="9"/>
  <c r="CD50" i="9"/>
  <c r="CD15" i="9"/>
  <c r="CD11" i="9"/>
  <c r="CD7" i="9"/>
  <c r="CD6" i="9"/>
  <c r="CD14" i="9"/>
  <c r="CD10" i="9"/>
  <c r="CD9" i="9"/>
  <c r="CD12" i="9"/>
  <c r="CE8" i="9"/>
  <c r="T39" i="9" l="1"/>
  <c r="T41" i="9"/>
  <c r="T40" i="9"/>
  <c r="CE41" i="9"/>
  <c r="CE40" i="9"/>
  <c r="CE38" i="9"/>
  <c r="CE39" i="9"/>
  <c r="CE37" i="9"/>
  <c r="T38" i="9"/>
  <c r="T37" i="9"/>
  <c r="CE35" i="9"/>
  <c r="CE33" i="9"/>
  <c r="CE34" i="9"/>
  <c r="T35" i="9"/>
  <c r="T34" i="9"/>
  <c r="T33" i="9"/>
  <c r="CE32" i="9"/>
  <c r="CE36" i="9"/>
  <c r="CE42" i="9"/>
  <c r="CE31" i="9"/>
  <c r="T31" i="9"/>
  <c r="T42" i="9"/>
  <c r="T36" i="9"/>
  <c r="T32" i="9"/>
  <c r="CE45" i="9"/>
  <c r="CE44" i="9"/>
  <c r="T9" i="9"/>
  <c r="T44" i="9"/>
  <c r="T45" i="9"/>
  <c r="T12" i="9"/>
  <c r="T50" i="9"/>
  <c r="CE13" i="9"/>
  <c r="CE23" i="9"/>
  <c r="CE30" i="9"/>
  <c r="CE28" i="9"/>
  <c r="CE26" i="9"/>
  <c r="CE24" i="9"/>
  <c r="CE29" i="9"/>
  <c r="CE27" i="9"/>
  <c r="CE25" i="9"/>
  <c r="CE16" i="9"/>
  <c r="CE17" i="9"/>
  <c r="T17" i="9"/>
  <c r="T23" i="9"/>
  <c r="T28" i="9"/>
  <c r="T25" i="9"/>
  <c r="T30" i="9"/>
  <c r="T27" i="9"/>
  <c r="T24" i="9"/>
  <c r="T26" i="9"/>
  <c r="T29" i="9"/>
  <c r="T16" i="9"/>
  <c r="T14" i="9"/>
  <c r="T13" i="9"/>
  <c r="T15" i="9"/>
  <c r="T46" i="9"/>
  <c r="T52" i="9"/>
  <c r="T47" i="9"/>
  <c r="T11" i="9"/>
  <c r="T49" i="9"/>
  <c r="T10" i="9"/>
  <c r="U8" i="9"/>
  <c r="T51" i="9"/>
  <c r="CE47" i="9"/>
  <c r="CE46" i="9"/>
  <c r="CE50" i="9"/>
  <c r="CE52" i="9"/>
  <c r="CE15" i="9"/>
  <c r="CE11" i="9"/>
  <c r="CE14" i="9"/>
  <c r="CE10" i="9"/>
  <c r="CE9" i="9"/>
  <c r="CE12" i="9"/>
  <c r="CF8" i="9"/>
  <c r="U39" i="9" l="1"/>
  <c r="U41" i="9"/>
  <c r="U40" i="9"/>
  <c r="CF41" i="9"/>
  <c r="CF40" i="9"/>
  <c r="CF37" i="9"/>
  <c r="CF39" i="9"/>
  <c r="CF38" i="9"/>
  <c r="U38" i="9"/>
  <c r="U37" i="9"/>
  <c r="CF35" i="9"/>
  <c r="CF33" i="9"/>
  <c r="CF34" i="9"/>
  <c r="U35" i="9"/>
  <c r="U34" i="9"/>
  <c r="U33" i="9"/>
  <c r="CF36" i="9"/>
  <c r="CF31" i="9"/>
  <c r="CF42" i="9"/>
  <c r="CF32" i="9"/>
  <c r="U31" i="9"/>
  <c r="U42" i="9"/>
  <c r="U36" i="9"/>
  <c r="U32" i="9"/>
  <c r="CF45" i="9"/>
  <c r="CF44" i="9"/>
  <c r="U13" i="9"/>
  <c r="U45" i="9"/>
  <c r="U44" i="9"/>
  <c r="V8" i="9"/>
  <c r="U12" i="9"/>
  <c r="U50" i="9"/>
  <c r="CF13" i="9"/>
  <c r="CF26" i="9"/>
  <c r="CF30" i="9"/>
  <c r="CF24" i="9"/>
  <c r="CF29" i="9"/>
  <c r="CF27" i="9"/>
  <c r="CF25" i="9"/>
  <c r="CF23" i="9"/>
  <c r="CF28" i="9"/>
  <c r="CF17" i="9"/>
  <c r="CF16" i="9"/>
  <c r="U17" i="9"/>
  <c r="U28" i="9"/>
  <c r="U25" i="9"/>
  <c r="U30" i="9"/>
  <c r="U27" i="9"/>
  <c r="U24" i="9"/>
  <c r="U29" i="9"/>
  <c r="U23" i="9"/>
  <c r="U26" i="9"/>
  <c r="U46" i="9"/>
  <c r="U51" i="9"/>
  <c r="U7" i="9"/>
  <c r="U10" i="9"/>
  <c r="U52" i="9"/>
  <c r="U9" i="9"/>
  <c r="U6" i="9"/>
  <c r="U11" i="9"/>
  <c r="U15" i="9"/>
  <c r="U47" i="9"/>
  <c r="U14" i="9"/>
  <c r="U49" i="9"/>
  <c r="U16" i="9"/>
  <c r="CF47" i="9"/>
  <c r="CF46" i="9"/>
  <c r="CF50" i="9"/>
  <c r="CF52" i="9"/>
  <c r="CF15" i="9"/>
  <c r="CF14" i="9"/>
  <c r="CF10" i="9"/>
  <c r="CF9" i="9"/>
  <c r="CF12" i="9"/>
  <c r="CG8" i="9"/>
  <c r="CF11" i="9"/>
  <c r="V39" i="9" l="1"/>
  <c r="V40" i="9"/>
  <c r="V41" i="9"/>
  <c r="CG41" i="9"/>
  <c r="CG40" i="9"/>
  <c r="CG37" i="9"/>
  <c r="CG39" i="9"/>
  <c r="CG38" i="9"/>
  <c r="V38" i="9"/>
  <c r="V37" i="9"/>
  <c r="CG34" i="9"/>
  <c r="CG35" i="9"/>
  <c r="CG33" i="9"/>
  <c r="V35" i="9"/>
  <c r="V34" i="9"/>
  <c r="V33" i="9"/>
  <c r="CG42" i="9"/>
  <c r="CG31" i="9"/>
  <c r="CG32" i="9"/>
  <c r="CG36" i="9"/>
  <c r="V42" i="9"/>
  <c r="V32" i="9"/>
  <c r="V36" i="9"/>
  <c r="V16" i="9"/>
  <c r="V31" i="9"/>
  <c r="CG45" i="9"/>
  <c r="CG44" i="9"/>
  <c r="V30" i="9"/>
  <c r="V45" i="9"/>
  <c r="V44" i="9"/>
  <c r="V13" i="9"/>
  <c r="V11" i="9"/>
  <c r="W8" i="9"/>
  <c r="V50" i="9"/>
  <c r="V49" i="9"/>
  <c r="V25" i="9"/>
  <c r="V10" i="9"/>
  <c r="V23" i="9"/>
  <c r="V17" i="9"/>
  <c r="V52" i="9"/>
  <c r="V12" i="9"/>
  <c r="V51" i="9"/>
  <c r="V28" i="9"/>
  <c r="V26" i="9"/>
  <c r="V9" i="9"/>
  <c r="V29" i="9"/>
  <c r="V24" i="9"/>
  <c r="V14" i="9"/>
  <c r="V47" i="9"/>
  <c r="V15" i="9"/>
  <c r="V46" i="9"/>
  <c r="V27" i="9"/>
  <c r="CG13" i="9"/>
  <c r="CG30" i="9"/>
  <c r="CG28" i="9"/>
  <c r="CG26" i="9"/>
  <c r="CG24" i="9"/>
  <c r="CG29" i="9"/>
  <c r="CG27" i="9"/>
  <c r="CG25" i="9"/>
  <c r="CG23" i="9"/>
  <c r="CG17" i="9"/>
  <c r="CG16" i="9"/>
  <c r="CG47" i="9"/>
  <c r="CG46" i="9"/>
  <c r="CG52" i="9"/>
  <c r="CG50" i="9"/>
  <c r="CG15" i="9"/>
  <c r="CG10" i="9"/>
  <c r="CG9" i="9"/>
  <c r="CG12" i="9"/>
  <c r="CH8" i="9"/>
  <c r="CG14" i="9"/>
  <c r="CG11" i="9"/>
  <c r="CH40" i="9" l="1"/>
  <c r="CH41" i="9"/>
  <c r="W39" i="9"/>
  <c r="W41" i="9"/>
  <c r="W40" i="9"/>
  <c r="CH39" i="9"/>
  <c r="CH37" i="9"/>
  <c r="CH38" i="9"/>
  <c r="W38" i="9"/>
  <c r="W37" i="9"/>
  <c r="CH34" i="9"/>
  <c r="CH35" i="9"/>
  <c r="CH33" i="9"/>
  <c r="W35" i="9"/>
  <c r="W34" i="9"/>
  <c r="W33" i="9"/>
  <c r="CH31" i="9"/>
  <c r="CH42" i="9"/>
  <c r="CH36" i="9"/>
  <c r="CH32" i="9"/>
  <c r="W42" i="9"/>
  <c r="W36" i="9"/>
  <c r="W32" i="9"/>
  <c r="W29" i="9"/>
  <c r="W31" i="9"/>
  <c r="W27" i="9"/>
  <c r="W14" i="9"/>
  <c r="W30" i="9"/>
  <c r="W24" i="9"/>
  <c r="CH44" i="9"/>
  <c r="CH45" i="9"/>
  <c r="W46" i="9"/>
  <c r="W45" i="9"/>
  <c r="W44" i="9"/>
  <c r="W50" i="9"/>
  <c r="W9" i="9"/>
  <c r="W52" i="9"/>
  <c r="W17" i="9"/>
  <c r="W47" i="9"/>
  <c r="W10" i="9"/>
  <c r="X8" i="9"/>
  <c r="W12" i="9"/>
  <c r="W16" i="9"/>
  <c r="W15" i="9"/>
  <c r="W13" i="9"/>
  <c r="W49" i="9"/>
  <c r="W28" i="9"/>
  <c r="W11" i="9"/>
  <c r="W51" i="9"/>
  <c r="W25" i="9"/>
  <c r="W26" i="9"/>
  <c r="W23" i="9"/>
  <c r="CH13" i="9"/>
  <c r="CH29" i="9"/>
  <c r="CH27" i="9"/>
  <c r="CH25" i="9"/>
  <c r="CH23" i="9"/>
  <c r="CH30" i="9"/>
  <c r="CH28" i="9"/>
  <c r="CH26" i="9"/>
  <c r="CH24" i="9"/>
  <c r="CH17" i="9"/>
  <c r="CH16" i="9"/>
  <c r="CH46" i="9"/>
  <c r="CH47" i="9"/>
  <c r="CH52" i="9"/>
  <c r="CH50" i="9"/>
  <c r="CH15" i="9"/>
  <c r="CH14" i="9"/>
  <c r="CH9" i="9"/>
  <c r="CI8" i="9"/>
  <c r="CH12" i="9"/>
  <c r="CH11" i="9"/>
  <c r="CH10" i="9"/>
  <c r="CI41" i="9" l="1"/>
  <c r="CI40" i="9"/>
  <c r="X39" i="9"/>
  <c r="X40" i="9"/>
  <c r="X41" i="9"/>
  <c r="CI39" i="9"/>
  <c r="CI37" i="9"/>
  <c r="CI38" i="9"/>
  <c r="X37" i="9"/>
  <c r="X38" i="9"/>
  <c r="CI34" i="9"/>
  <c r="CI35" i="9"/>
  <c r="CI33" i="9"/>
  <c r="X34" i="9"/>
  <c r="X35" i="9"/>
  <c r="X33" i="9"/>
  <c r="CI31" i="9"/>
  <c r="CI32" i="9"/>
  <c r="CI42" i="9"/>
  <c r="CI36" i="9"/>
  <c r="X36" i="9"/>
  <c r="X32" i="9"/>
  <c r="X42" i="9"/>
  <c r="X26" i="9"/>
  <c r="X31" i="9"/>
  <c r="X24" i="9"/>
  <c r="Y8" i="9"/>
  <c r="X27" i="9"/>
  <c r="X14" i="9"/>
  <c r="X9" i="9"/>
  <c r="X52" i="9"/>
  <c r="X51" i="9"/>
  <c r="CI45" i="9"/>
  <c r="CI44" i="9"/>
  <c r="X25" i="9"/>
  <c r="X11" i="9"/>
  <c r="X12" i="9"/>
  <c r="X30" i="9"/>
  <c r="X44" i="9"/>
  <c r="X45" i="9"/>
  <c r="X29" i="9"/>
  <c r="X15" i="9"/>
  <c r="X17" i="9"/>
  <c r="X47" i="9"/>
  <c r="X50" i="9"/>
  <c r="X46" i="9"/>
  <c r="X10" i="9"/>
  <c r="X49" i="9"/>
  <c r="X13" i="9"/>
  <c r="X16" i="9"/>
  <c r="X23" i="9"/>
  <c r="X28" i="9"/>
  <c r="CI13" i="9"/>
  <c r="CI29" i="9"/>
  <c r="CI27" i="9"/>
  <c r="CI25" i="9"/>
  <c r="CI23" i="9"/>
  <c r="CI26" i="9"/>
  <c r="CI30" i="9"/>
  <c r="CI24" i="9"/>
  <c r="CI28" i="9"/>
  <c r="CI17" i="9"/>
  <c r="CI16" i="9"/>
  <c r="CI47" i="9"/>
  <c r="CI46" i="9"/>
  <c r="CI52" i="9"/>
  <c r="CI50" i="9"/>
  <c r="CI15" i="9"/>
  <c r="CI12" i="9"/>
  <c r="CJ8" i="9"/>
  <c r="CI7" i="9"/>
  <c r="CI9" i="9"/>
  <c r="CI6" i="9"/>
  <c r="CI11" i="9"/>
  <c r="CI10" i="9"/>
  <c r="CI14" i="9"/>
  <c r="CJ40" i="9" l="1"/>
  <c r="CJ41" i="9"/>
  <c r="Y39" i="9"/>
  <c r="Y40" i="9"/>
  <c r="Y41" i="9"/>
  <c r="CJ38" i="9"/>
  <c r="CJ37" i="9"/>
  <c r="CJ39" i="9"/>
  <c r="Y37" i="9"/>
  <c r="Y38" i="9"/>
  <c r="CJ34" i="9"/>
  <c r="CJ35" i="9"/>
  <c r="CJ33" i="9"/>
  <c r="Y28" i="9"/>
  <c r="Y33" i="9"/>
  <c r="Y35" i="9"/>
  <c r="Y34" i="9"/>
  <c r="Y47" i="9"/>
  <c r="CJ31" i="9"/>
  <c r="CJ36" i="9"/>
  <c r="CJ32" i="9"/>
  <c r="CJ42" i="9"/>
  <c r="Z8" i="9"/>
  <c r="Y25" i="9"/>
  <c r="Y15" i="9"/>
  <c r="Y11" i="9"/>
  <c r="Y42" i="9"/>
  <c r="Y36" i="9"/>
  <c r="Y32" i="9"/>
  <c r="Y23" i="9"/>
  <c r="Y26" i="9"/>
  <c r="Y52" i="9"/>
  <c r="Y46" i="9"/>
  <c r="Y29" i="9"/>
  <c r="Y12" i="9"/>
  <c r="Y49" i="9"/>
  <c r="Y50" i="9"/>
  <c r="Y51" i="9"/>
  <c r="Y16" i="9"/>
  <c r="Y9" i="9"/>
  <c r="Y27" i="9"/>
  <c r="Y45" i="9"/>
  <c r="Y31" i="9"/>
  <c r="Y24" i="9"/>
  <c r="Y13" i="9"/>
  <c r="Y14" i="9"/>
  <c r="Y30" i="9"/>
  <c r="Y17" i="9"/>
  <c r="CJ44" i="9"/>
  <c r="CJ45" i="9"/>
  <c r="CJ13" i="9"/>
  <c r="CJ25" i="9"/>
  <c r="CJ23" i="9"/>
  <c r="CJ29" i="9"/>
  <c r="CJ30" i="9"/>
  <c r="CJ28" i="9"/>
  <c r="CJ26" i="9"/>
  <c r="CJ24" i="9"/>
  <c r="CJ27" i="9"/>
  <c r="CJ16" i="9"/>
  <c r="CJ17" i="9"/>
  <c r="CJ46" i="9"/>
  <c r="CJ47" i="9"/>
  <c r="CJ52" i="9"/>
  <c r="CJ50" i="9"/>
  <c r="CJ15" i="9"/>
  <c r="CJ11" i="9"/>
  <c r="CJ9" i="9"/>
  <c r="CJ14" i="9"/>
  <c r="CJ12" i="9"/>
  <c r="CJ10" i="9"/>
  <c r="CK8" i="9"/>
  <c r="Z39" i="9" l="1"/>
  <c r="Z41" i="9"/>
  <c r="Z40" i="9"/>
  <c r="CK40" i="9"/>
  <c r="CK41" i="9"/>
  <c r="CK38" i="9"/>
  <c r="CK39" i="9"/>
  <c r="CK37" i="9"/>
  <c r="Z38" i="9"/>
  <c r="Z37" i="9"/>
  <c r="CK35" i="9"/>
  <c r="CK33" i="9"/>
  <c r="CK34" i="9"/>
  <c r="Z32" i="9"/>
  <c r="Z35" i="9"/>
  <c r="Z34" i="9"/>
  <c r="Z33" i="9"/>
  <c r="Z23" i="9"/>
  <c r="Z31" i="9"/>
  <c r="Z46" i="9"/>
  <c r="Z12" i="9"/>
  <c r="Z9" i="9"/>
  <c r="Z47" i="9"/>
  <c r="Z42" i="9"/>
  <c r="Z14" i="9"/>
  <c r="Z30" i="9"/>
  <c r="Z25" i="9"/>
  <c r="Z24" i="9"/>
  <c r="Z11" i="9"/>
  <c r="Z15" i="9"/>
  <c r="Z52" i="9"/>
  <c r="Z28" i="9"/>
  <c r="Z36" i="9"/>
  <c r="Z45" i="9"/>
  <c r="Z49" i="9"/>
  <c r="Z16" i="9"/>
  <c r="Z26" i="9"/>
  <c r="CK32" i="9"/>
  <c r="CK36" i="9"/>
  <c r="CK42" i="9"/>
  <c r="CK31" i="9"/>
  <c r="Z51" i="9"/>
  <c r="Z13" i="9"/>
  <c r="Z29" i="9"/>
  <c r="AA8" i="9"/>
  <c r="Z50" i="9"/>
  <c r="Z27" i="9"/>
  <c r="Z17" i="9"/>
  <c r="CK44" i="9"/>
  <c r="CK45" i="9"/>
  <c r="CK13" i="9"/>
  <c r="CK29" i="9"/>
  <c r="CK27" i="9"/>
  <c r="CK25" i="9"/>
  <c r="CK23" i="9"/>
  <c r="CK30" i="9"/>
  <c r="CK28" i="9"/>
  <c r="CK26" i="9"/>
  <c r="CK24" i="9"/>
  <c r="CK16" i="9"/>
  <c r="CK17" i="9"/>
  <c r="CK46" i="9"/>
  <c r="CK47" i="9"/>
  <c r="CK52" i="9"/>
  <c r="CK50" i="9"/>
  <c r="CK15" i="9"/>
  <c r="CK11" i="9"/>
  <c r="CK14" i="9"/>
  <c r="CK10" i="9"/>
  <c r="CL8" i="9"/>
  <c r="CK9" i="9"/>
  <c r="CK12" i="9"/>
  <c r="CL41" i="9" l="1"/>
  <c r="CL40" i="9"/>
  <c r="AA39" i="9"/>
  <c r="AA41" i="9"/>
  <c r="AA40" i="9"/>
  <c r="CL38" i="9"/>
  <c r="CL39" i="9"/>
  <c r="CL37" i="9"/>
  <c r="AA38" i="9"/>
  <c r="AA37" i="9"/>
  <c r="CL35" i="9"/>
  <c r="CL33" i="9"/>
  <c r="CL34" i="9"/>
  <c r="AA42" i="9"/>
  <c r="AA35" i="9"/>
  <c r="AA34" i="9"/>
  <c r="AA33" i="9"/>
  <c r="AA46" i="9"/>
  <c r="AA16" i="9"/>
  <c r="AB8" i="9"/>
  <c r="AA10" i="9"/>
  <c r="AA11" i="9"/>
  <c r="AA15" i="9"/>
  <c r="AA45" i="9"/>
  <c r="AA13" i="9"/>
  <c r="AA52" i="9"/>
  <c r="AA30" i="9"/>
  <c r="AA51" i="9"/>
  <c r="AA25" i="9"/>
  <c r="AA23" i="9"/>
  <c r="AA31" i="9"/>
  <c r="AA26" i="9"/>
  <c r="AA50" i="9"/>
  <c r="AA47" i="9"/>
  <c r="AA28" i="9"/>
  <c r="AA44" i="9"/>
  <c r="CL32" i="9"/>
  <c r="CL31" i="9"/>
  <c r="CL36" i="9"/>
  <c r="CL42" i="9"/>
  <c r="AA12" i="9"/>
  <c r="AA49" i="9"/>
  <c r="AA24" i="9"/>
  <c r="AA17" i="9"/>
  <c r="AA32" i="9"/>
  <c r="AA9" i="9"/>
  <c r="AA29" i="9"/>
  <c r="AA36" i="9"/>
  <c r="AA14" i="9"/>
  <c r="AA27" i="9"/>
  <c r="CL44" i="9"/>
  <c r="CL45" i="9"/>
  <c r="CL13" i="9"/>
  <c r="CL30" i="9"/>
  <c r="CL28" i="9"/>
  <c r="CL26" i="9"/>
  <c r="CL24" i="9"/>
  <c r="CL29" i="9"/>
  <c r="CL27" i="9"/>
  <c r="CL25" i="9"/>
  <c r="CL23" i="9"/>
  <c r="CL16" i="9"/>
  <c r="CL17" i="9"/>
  <c r="CL46" i="9"/>
  <c r="CL47" i="9"/>
  <c r="CL52" i="9"/>
  <c r="CL50" i="9"/>
  <c r="CL15" i="9"/>
  <c r="CL11" i="9"/>
  <c r="CL14" i="9"/>
  <c r="CL10" i="9"/>
  <c r="CL9" i="9"/>
  <c r="CL12" i="9"/>
  <c r="CM8" i="9"/>
  <c r="AB7" i="9"/>
  <c r="AB6" i="9"/>
  <c r="AB39" i="9" l="1"/>
  <c r="AB41" i="9"/>
  <c r="AB40" i="9"/>
  <c r="CM41" i="9"/>
  <c r="CM40" i="9"/>
  <c r="AB42" i="9"/>
  <c r="AB46" i="9"/>
  <c r="CM38" i="9"/>
  <c r="CM39" i="9"/>
  <c r="CM37" i="9"/>
  <c r="AB11" i="9"/>
  <c r="AB26" i="9"/>
  <c r="AB9" i="9"/>
  <c r="AB27" i="9"/>
  <c r="AB31" i="9"/>
  <c r="AB38" i="9"/>
  <c r="AB37" i="9"/>
  <c r="CM35" i="9"/>
  <c r="CM33" i="9"/>
  <c r="CM34" i="9"/>
  <c r="AB24" i="9"/>
  <c r="AB36" i="9"/>
  <c r="AB14" i="9"/>
  <c r="AB30" i="9"/>
  <c r="AB35" i="9"/>
  <c r="AB34" i="9"/>
  <c r="AB33" i="9"/>
  <c r="AB44" i="9"/>
  <c r="AB16" i="9"/>
  <c r="AC8" i="9"/>
  <c r="AB25" i="9"/>
  <c r="AB10" i="9"/>
  <c r="AB28" i="9"/>
  <c r="AB12" i="9"/>
  <c r="AB51" i="9"/>
  <c r="AB13" i="9"/>
  <c r="AB23" i="9"/>
  <c r="AB45" i="9"/>
  <c r="AB49" i="9"/>
  <c r="AB47" i="9"/>
  <c r="AB52" i="9"/>
  <c r="AB15" i="9"/>
  <c r="AB50" i="9"/>
  <c r="AB29" i="9"/>
  <c r="AB17" i="9"/>
  <c r="AB32" i="9"/>
  <c r="CM32" i="9"/>
  <c r="CM36" i="9"/>
  <c r="CM42" i="9"/>
  <c r="CM31" i="9"/>
  <c r="CM45" i="9"/>
  <c r="CM44" i="9"/>
  <c r="CM13" i="9"/>
  <c r="CM30" i="9"/>
  <c r="CM28" i="9"/>
  <c r="CM26" i="9"/>
  <c r="CM24" i="9"/>
  <c r="CM29" i="9"/>
  <c r="CM27" i="9"/>
  <c r="CM25" i="9"/>
  <c r="CM23" i="9"/>
  <c r="CM16" i="9"/>
  <c r="CM17" i="9"/>
  <c r="CM47" i="9"/>
  <c r="CM46" i="9"/>
  <c r="CM52" i="9"/>
  <c r="CM50" i="9"/>
  <c r="CM15" i="9"/>
  <c r="CM14" i="9"/>
  <c r="CM10" i="9"/>
  <c r="CM9" i="9"/>
  <c r="CM11" i="9"/>
  <c r="CM12" i="9"/>
  <c r="CN8" i="9"/>
  <c r="AC41" i="9" l="1"/>
  <c r="AC40" i="9"/>
  <c r="CN41" i="9"/>
  <c r="CN40" i="9"/>
  <c r="CN37" i="9"/>
  <c r="CN39" i="9"/>
  <c r="CN38" i="9"/>
  <c r="AC10" i="9"/>
  <c r="AC39" i="9"/>
  <c r="AC36" i="9"/>
  <c r="AC38" i="9"/>
  <c r="AC37" i="9"/>
  <c r="AC16" i="9"/>
  <c r="AC17" i="9"/>
  <c r="AC11" i="9"/>
  <c r="AC46" i="9"/>
  <c r="AD8" i="9"/>
  <c r="AC13" i="9"/>
  <c r="AC26" i="9"/>
  <c r="AC32" i="9"/>
  <c r="AC50" i="9"/>
  <c r="AC49" i="9"/>
  <c r="AC52" i="9"/>
  <c r="AC23" i="9"/>
  <c r="AC51" i="9"/>
  <c r="AC25" i="9"/>
  <c r="CN35" i="9"/>
  <c r="CN33" i="9"/>
  <c r="CN34" i="9"/>
  <c r="AC28" i="9"/>
  <c r="AC35" i="9"/>
  <c r="AC34" i="9"/>
  <c r="AC33" i="9"/>
  <c r="AC47" i="9"/>
  <c r="AC12" i="9"/>
  <c r="AC42" i="9"/>
  <c r="AC24" i="9"/>
  <c r="AC31" i="9"/>
  <c r="AC45" i="9"/>
  <c r="AC29" i="9"/>
  <c r="AC14" i="9"/>
  <c r="AC9" i="9"/>
  <c r="AC27" i="9"/>
  <c r="AC15" i="9"/>
  <c r="AC30" i="9"/>
  <c r="AC44" i="9"/>
  <c r="CN36" i="9"/>
  <c r="CN32" i="9"/>
  <c r="CN42" i="9"/>
  <c r="CN31" i="9"/>
  <c r="CN44" i="9"/>
  <c r="CN45" i="9"/>
  <c r="CN13" i="9"/>
  <c r="CN28" i="9"/>
  <c r="CN30" i="9"/>
  <c r="CN29" i="9"/>
  <c r="CN27" i="9"/>
  <c r="CN25" i="9"/>
  <c r="CN23" i="9"/>
  <c r="CN26" i="9"/>
  <c r="CN24" i="9"/>
  <c r="CN17" i="9"/>
  <c r="CN16" i="9"/>
  <c r="CN47" i="9"/>
  <c r="CN46" i="9"/>
  <c r="CN50" i="9"/>
  <c r="CN52" i="9"/>
  <c r="CN15" i="9"/>
  <c r="CN14" i="9"/>
  <c r="CN10" i="9"/>
  <c r="CN9" i="9"/>
  <c r="CN12" i="9"/>
  <c r="CO8" i="9"/>
  <c r="CN7" i="9"/>
  <c r="CN6" i="9"/>
  <c r="CN11" i="9"/>
  <c r="CO41" i="9" l="1"/>
  <c r="CO40" i="9"/>
  <c r="AD50" i="9"/>
  <c r="AD40" i="9"/>
  <c r="AD41" i="9"/>
  <c r="CO39" i="9"/>
  <c r="CO37" i="9"/>
  <c r="CO38" i="9"/>
  <c r="AD29" i="9"/>
  <c r="AD39" i="9"/>
  <c r="AD13" i="9"/>
  <c r="AD44" i="9"/>
  <c r="AD49" i="9"/>
  <c r="AD23" i="9"/>
  <c r="AD36" i="9"/>
  <c r="AD38" i="9"/>
  <c r="AD37" i="9"/>
  <c r="AD24" i="9"/>
  <c r="AD32" i="9"/>
  <c r="AD25" i="9"/>
  <c r="AD11" i="9"/>
  <c r="AD46" i="9"/>
  <c r="AD17" i="9"/>
  <c r="AD31" i="9"/>
  <c r="AD12" i="9"/>
  <c r="AD9" i="9"/>
  <c r="AD35" i="9"/>
  <c r="AE8" i="9"/>
  <c r="AD52" i="9"/>
  <c r="AD27" i="9"/>
  <c r="AD45" i="9"/>
  <c r="AD33" i="9"/>
  <c r="AD10" i="9"/>
  <c r="AD51" i="9"/>
  <c r="AD16" i="9"/>
  <c r="AD30" i="9"/>
  <c r="AD34" i="9"/>
  <c r="AD14" i="9"/>
  <c r="AD28" i="9"/>
  <c r="AD42" i="9"/>
  <c r="AD15" i="9"/>
  <c r="AD47" i="9"/>
  <c r="AD26" i="9"/>
  <c r="CO34" i="9"/>
  <c r="CO35" i="9"/>
  <c r="CO33" i="9"/>
  <c r="CO42" i="9"/>
  <c r="CO32" i="9"/>
  <c r="CO36" i="9"/>
  <c r="CO31" i="9"/>
  <c r="AE42" i="9"/>
  <c r="CO45" i="9"/>
  <c r="CO44" i="9"/>
  <c r="CO13" i="9"/>
  <c r="CO30" i="9"/>
  <c r="CO28" i="9"/>
  <c r="CO26" i="9"/>
  <c r="CO24" i="9"/>
  <c r="CO29" i="9"/>
  <c r="CO27" i="9"/>
  <c r="CO25" i="9"/>
  <c r="CO23" i="9"/>
  <c r="CO16" i="9"/>
  <c r="CO17" i="9"/>
  <c r="AE29" i="9"/>
  <c r="AE26" i="9"/>
  <c r="AE23" i="9"/>
  <c r="AE25" i="9"/>
  <c r="AE28" i="9"/>
  <c r="CO47" i="9"/>
  <c r="CO46" i="9"/>
  <c r="AE47" i="9"/>
  <c r="AE46" i="9"/>
  <c r="CO52" i="9"/>
  <c r="CO50" i="9"/>
  <c r="CO15" i="9"/>
  <c r="CO10" i="9"/>
  <c r="CO9" i="9"/>
  <c r="CO12" i="9"/>
  <c r="CP8" i="9"/>
  <c r="CO14" i="9"/>
  <c r="CO11" i="9"/>
  <c r="AE51" i="9"/>
  <c r="AE49" i="9"/>
  <c r="AE12" i="9"/>
  <c r="AE9" i="9"/>
  <c r="AE11" i="9"/>
  <c r="CP40" i="9" l="1"/>
  <c r="CP41" i="9"/>
  <c r="AE39" i="9"/>
  <c r="AE41" i="9"/>
  <c r="AE40" i="9"/>
  <c r="AF8" i="9"/>
  <c r="AE31" i="9"/>
  <c r="AE34" i="9"/>
  <c r="CP39" i="9"/>
  <c r="CP37" i="9"/>
  <c r="CP38" i="9"/>
  <c r="AE35" i="9"/>
  <c r="AE24" i="9"/>
  <c r="AE15" i="9"/>
  <c r="AE27" i="9"/>
  <c r="AE32" i="9"/>
  <c r="AE50" i="9"/>
  <c r="AE16" i="9"/>
  <c r="AE17" i="9"/>
  <c r="AE36" i="9"/>
  <c r="AE14" i="9"/>
  <c r="AE52" i="9"/>
  <c r="AE13" i="9"/>
  <c r="AE30" i="9"/>
  <c r="AE45" i="9"/>
  <c r="AE33" i="9"/>
  <c r="AF38" i="9"/>
  <c r="AE38" i="9"/>
  <c r="AE37" i="9"/>
  <c r="CP34" i="9"/>
  <c r="CP35" i="9"/>
  <c r="CP33" i="9"/>
  <c r="AF34" i="9"/>
  <c r="AF33" i="9"/>
  <c r="AF35" i="9"/>
  <c r="CP36" i="9"/>
  <c r="CP31" i="9"/>
  <c r="CP42" i="9"/>
  <c r="CP32" i="9"/>
  <c r="AF36" i="9"/>
  <c r="AF32" i="9"/>
  <c r="AF45" i="9"/>
  <c r="AF31" i="9"/>
  <c r="CP44" i="9"/>
  <c r="CP45" i="9"/>
  <c r="CP13" i="9"/>
  <c r="CP29" i="9"/>
  <c r="CP27" i="9"/>
  <c r="CP25" i="9"/>
  <c r="CP23" i="9"/>
  <c r="CP30" i="9"/>
  <c r="CP28" i="9"/>
  <c r="CP26" i="9"/>
  <c r="CP24" i="9"/>
  <c r="CP17" i="9"/>
  <c r="CP16" i="9"/>
  <c r="AF17" i="9"/>
  <c r="AF27" i="9"/>
  <c r="AF24" i="9"/>
  <c r="AF29" i="9"/>
  <c r="AF26" i="9"/>
  <c r="AF23" i="9"/>
  <c r="AF28" i="9"/>
  <c r="AF30" i="9"/>
  <c r="AF25" i="9"/>
  <c r="AF13" i="9"/>
  <c r="AF16" i="9"/>
  <c r="AF46" i="9"/>
  <c r="AF47" i="9"/>
  <c r="CP46" i="9"/>
  <c r="CP47" i="9"/>
  <c r="AF51" i="9"/>
  <c r="AF52" i="9"/>
  <c r="AF49" i="9"/>
  <c r="AF50" i="9"/>
  <c r="AF15" i="9"/>
  <c r="AF12" i="9"/>
  <c r="AG8" i="9"/>
  <c r="AF11" i="9"/>
  <c r="AF9" i="9"/>
  <c r="AF14" i="9"/>
  <c r="CP52" i="9"/>
  <c r="CP50" i="9"/>
  <c r="CP15" i="9"/>
  <c r="CP9" i="9"/>
  <c r="CP12" i="9"/>
  <c r="CQ8" i="9"/>
  <c r="CP10" i="9"/>
  <c r="CP11" i="9"/>
  <c r="CP14" i="9"/>
  <c r="AG39" i="9" l="1"/>
  <c r="AG41" i="9"/>
  <c r="AG40" i="9"/>
  <c r="AF39" i="9"/>
  <c r="AF40" i="9"/>
  <c r="AF41" i="9"/>
  <c r="AF37" i="9"/>
  <c r="CQ41" i="9"/>
  <c r="CQ40" i="9"/>
  <c r="AF42" i="9"/>
  <c r="CQ39" i="9"/>
  <c r="CQ37" i="9"/>
  <c r="CQ38" i="9"/>
  <c r="AG38" i="9"/>
  <c r="AG37" i="9"/>
  <c r="CQ34" i="9"/>
  <c r="CQ35" i="9"/>
  <c r="CQ33" i="9"/>
  <c r="AG33" i="9"/>
  <c r="AG35" i="9"/>
  <c r="AG34" i="9"/>
  <c r="CQ31" i="9"/>
  <c r="CQ32" i="9"/>
  <c r="CQ42" i="9"/>
  <c r="CQ36" i="9"/>
  <c r="AG31" i="9"/>
  <c r="AG42" i="9"/>
  <c r="AG36" i="9"/>
  <c r="AG32" i="9"/>
  <c r="CQ44" i="9"/>
  <c r="CQ45" i="9"/>
  <c r="AG44" i="9"/>
  <c r="AG45" i="9"/>
  <c r="CQ13" i="9"/>
  <c r="CQ24" i="9"/>
  <c r="CQ29" i="9"/>
  <c r="CQ27" i="9"/>
  <c r="CQ25" i="9"/>
  <c r="CQ23" i="9"/>
  <c r="CQ28" i="9"/>
  <c r="CQ26" i="9"/>
  <c r="CQ30" i="9"/>
  <c r="CQ17" i="9"/>
  <c r="CQ16" i="9"/>
  <c r="AG17" i="9"/>
  <c r="AG24" i="9"/>
  <c r="AG29" i="9"/>
  <c r="AG26" i="9"/>
  <c r="AG23" i="9"/>
  <c r="AG28" i="9"/>
  <c r="AG25" i="9"/>
  <c r="AG27" i="9"/>
  <c r="AG30" i="9"/>
  <c r="AG13" i="9"/>
  <c r="AG16" i="9"/>
  <c r="AG46" i="9"/>
  <c r="AG47" i="9"/>
  <c r="CQ46" i="9"/>
  <c r="CQ47" i="9"/>
  <c r="AG51" i="9"/>
  <c r="AG52" i="9"/>
  <c r="AG50" i="9"/>
  <c r="AG49" i="9"/>
  <c r="AG15" i="9"/>
  <c r="AG10" i="9"/>
  <c r="AG11" i="9"/>
  <c r="AH8" i="9"/>
  <c r="AG14" i="9"/>
  <c r="AG12" i="9"/>
  <c r="AG9" i="9"/>
  <c r="CQ52" i="9"/>
  <c r="CQ50" i="9"/>
  <c r="CQ15" i="9"/>
  <c r="CQ12" i="9"/>
  <c r="CR8" i="9"/>
  <c r="CQ11" i="9"/>
  <c r="CQ10" i="9"/>
  <c r="CQ14" i="9"/>
  <c r="CQ9" i="9"/>
  <c r="AH39" i="9" l="1"/>
  <c r="AH41" i="9"/>
  <c r="AH40" i="9"/>
  <c r="CR40" i="9"/>
  <c r="CR41" i="9"/>
  <c r="CR38" i="9"/>
  <c r="CR39" i="9"/>
  <c r="CR37" i="9"/>
  <c r="AH38" i="9"/>
  <c r="AH37" i="9"/>
  <c r="CR34" i="9"/>
  <c r="CR35" i="9"/>
  <c r="CR33" i="9"/>
  <c r="AH35" i="9"/>
  <c r="AH34" i="9"/>
  <c r="AH33" i="9"/>
  <c r="CR31" i="9"/>
  <c r="CR32" i="9"/>
  <c r="CR36" i="9"/>
  <c r="CR42" i="9"/>
  <c r="AH31" i="9"/>
  <c r="AH42" i="9"/>
  <c r="AH36" i="9"/>
  <c r="AH32" i="9"/>
  <c r="CR44" i="9"/>
  <c r="CR45" i="9"/>
  <c r="AH44" i="9"/>
  <c r="AH45" i="9"/>
  <c r="CR13" i="9"/>
  <c r="CR29" i="9"/>
  <c r="CR25" i="9"/>
  <c r="CR27" i="9"/>
  <c r="CR23" i="9"/>
  <c r="CR30" i="9"/>
  <c r="CR28" i="9"/>
  <c r="CR26" i="9"/>
  <c r="CR24" i="9"/>
  <c r="CR16" i="9"/>
  <c r="CR17" i="9"/>
  <c r="AH17" i="9"/>
  <c r="AH29" i="9"/>
  <c r="AH26" i="9"/>
  <c r="AH23" i="9"/>
  <c r="AH28" i="9"/>
  <c r="AH25" i="9"/>
  <c r="AH30" i="9"/>
  <c r="AH24" i="9"/>
  <c r="AH27" i="9"/>
  <c r="AH13" i="9"/>
  <c r="AH16" i="9"/>
  <c r="CR46" i="9"/>
  <c r="CR47" i="9"/>
  <c r="AH46" i="9"/>
  <c r="AH47" i="9"/>
  <c r="AH52" i="9"/>
  <c r="AH51" i="9"/>
  <c r="AH50" i="9"/>
  <c r="AH49" i="9"/>
  <c r="AH15" i="9"/>
  <c r="AH11" i="9"/>
  <c r="AH14" i="9"/>
  <c r="AH9" i="9"/>
  <c r="AH10" i="9"/>
  <c r="AH12" i="9"/>
  <c r="AI8" i="9"/>
  <c r="CR52" i="9"/>
  <c r="CR50" i="9"/>
  <c r="CR15" i="9"/>
  <c r="CR12" i="9"/>
  <c r="CR11" i="9"/>
  <c r="CS8" i="9"/>
  <c r="CR14" i="9"/>
  <c r="CR9" i="9"/>
  <c r="CR10" i="9"/>
  <c r="CS40" i="9" l="1"/>
  <c r="CS41" i="9"/>
  <c r="AI39" i="9"/>
  <c r="AI41" i="9"/>
  <c r="AI40" i="9"/>
  <c r="CS38" i="9"/>
  <c r="CS39" i="9"/>
  <c r="CS37" i="9"/>
  <c r="AI38" i="9"/>
  <c r="AI37" i="9"/>
  <c r="CS33" i="9"/>
  <c r="CS34" i="9"/>
  <c r="CS35" i="9"/>
  <c r="AI35" i="9"/>
  <c r="AI34" i="9"/>
  <c r="AI33" i="9"/>
  <c r="CS32" i="9"/>
  <c r="CS42" i="9"/>
  <c r="CS36" i="9"/>
  <c r="CS31" i="9"/>
  <c r="AI31" i="9"/>
  <c r="AI42" i="9"/>
  <c r="AI36" i="9"/>
  <c r="AI32" i="9"/>
  <c r="CS44" i="9"/>
  <c r="CS45" i="9"/>
  <c r="AI44" i="9"/>
  <c r="AI45" i="9"/>
  <c r="CS13" i="9"/>
  <c r="CS29" i="9"/>
  <c r="CS27" i="9"/>
  <c r="CS25" i="9"/>
  <c r="CS23" i="9"/>
  <c r="CS30" i="9"/>
  <c r="CS28" i="9"/>
  <c r="CS26" i="9"/>
  <c r="CS24" i="9"/>
  <c r="CS16" i="9"/>
  <c r="CS17" i="9"/>
  <c r="AI17" i="9"/>
  <c r="AI26" i="9"/>
  <c r="AI23" i="9"/>
  <c r="AI28" i="9"/>
  <c r="AI25" i="9"/>
  <c r="AI30" i="9"/>
  <c r="AI27" i="9"/>
  <c r="AI29" i="9"/>
  <c r="AI24" i="9"/>
  <c r="AI13" i="9"/>
  <c r="AI16" i="9"/>
  <c r="CS46" i="9"/>
  <c r="CS47" i="9"/>
  <c r="AI47" i="9"/>
  <c r="AI46" i="9"/>
  <c r="CS52" i="9"/>
  <c r="CS50" i="9"/>
  <c r="CS15" i="9"/>
  <c r="CS11" i="9"/>
  <c r="CS14" i="9"/>
  <c r="CT8" i="9"/>
  <c r="CS10" i="9"/>
  <c r="CS12" i="9"/>
  <c r="CS9" i="9"/>
  <c r="CS7" i="9"/>
  <c r="CS6" i="9"/>
  <c r="AI49" i="9"/>
  <c r="AI52" i="9"/>
  <c r="AI51" i="9"/>
  <c r="AI50" i="9"/>
  <c r="AI15" i="9"/>
  <c r="AI14" i="9"/>
  <c r="AI6" i="9"/>
  <c r="AI9" i="9"/>
  <c r="AI11" i="9"/>
  <c r="AI12" i="9"/>
  <c r="AJ8" i="9"/>
  <c r="AI10" i="9"/>
  <c r="AI7" i="9"/>
  <c r="AJ39" i="9" l="1"/>
  <c r="AJ41" i="9"/>
  <c r="AJ40" i="9"/>
  <c r="CT41" i="9"/>
  <c r="CT40" i="9"/>
  <c r="CT38" i="9"/>
  <c r="CT39" i="9"/>
  <c r="CT37" i="9"/>
  <c r="AJ38" i="9"/>
  <c r="AJ37" i="9"/>
  <c r="CT35" i="9"/>
  <c r="CT33" i="9"/>
  <c r="CT34" i="9"/>
  <c r="AJ35" i="9"/>
  <c r="AJ34" i="9"/>
  <c r="AJ33" i="9"/>
  <c r="CT32" i="9"/>
  <c r="CT36" i="9"/>
  <c r="CT42" i="9"/>
  <c r="CT31" i="9"/>
  <c r="AJ31" i="9"/>
  <c r="AJ42" i="9"/>
  <c r="AJ36" i="9"/>
  <c r="AJ32" i="9"/>
  <c r="CT45" i="9"/>
  <c r="CT44" i="9"/>
  <c r="AJ45" i="9"/>
  <c r="AJ44" i="9"/>
  <c r="CT13" i="9"/>
  <c r="CT30" i="9"/>
  <c r="CT28" i="9"/>
  <c r="CT26" i="9"/>
  <c r="CT24" i="9"/>
  <c r="CT29" i="9"/>
  <c r="CT27" i="9"/>
  <c r="CT25" i="9"/>
  <c r="CT23" i="9"/>
  <c r="CT16" i="9"/>
  <c r="CT17" i="9"/>
  <c r="AJ17" i="9"/>
  <c r="AJ23" i="9"/>
  <c r="AJ28" i="9"/>
  <c r="AJ25" i="9"/>
  <c r="AJ30" i="9"/>
  <c r="AJ27" i="9"/>
  <c r="AJ24" i="9"/>
  <c r="AJ26" i="9"/>
  <c r="AJ29" i="9"/>
  <c r="AJ13" i="9"/>
  <c r="AJ16" i="9"/>
  <c r="AJ47" i="9"/>
  <c r="AJ46" i="9"/>
  <c r="CT46" i="9"/>
  <c r="CT47" i="9"/>
  <c r="CT52" i="9"/>
  <c r="CT50" i="9"/>
  <c r="CT15" i="9"/>
  <c r="CT11" i="9"/>
  <c r="CT14" i="9"/>
  <c r="CT10" i="9"/>
  <c r="CT9" i="9"/>
  <c r="CT12" i="9"/>
  <c r="CU8" i="9"/>
  <c r="AJ50" i="9"/>
  <c r="AJ51" i="9"/>
  <c r="AJ49" i="9"/>
  <c r="AJ52" i="9"/>
  <c r="AJ15" i="9"/>
  <c r="AJ14" i="9"/>
  <c r="AJ9" i="9"/>
  <c r="AJ12" i="9"/>
  <c r="AK8" i="9"/>
  <c r="AJ11" i="9"/>
  <c r="AJ10" i="9"/>
  <c r="CU41" i="9" l="1"/>
  <c r="CU40" i="9"/>
  <c r="AK39" i="9"/>
  <c r="AK41" i="9"/>
  <c r="AK40" i="9"/>
  <c r="CU38" i="9"/>
  <c r="CU39" i="9"/>
  <c r="CU37" i="9"/>
  <c r="AK38" i="9"/>
  <c r="AK37" i="9"/>
  <c r="CU35" i="9"/>
  <c r="CU33" i="9"/>
  <c r="CU34" i="9"/>
  <c r="AK35" i="9"/>
  <c r="AK34" i="9"/>
  <c r="AK33" i="9"/>
  <c r="CU32" i="9"/>
  <c r="CU36" i="9"/>
  <c r="CU42" i="9"/>
  <c r="CU31" i="9"/>
  <c r="AK31" i="9"/>
  <c r="AK42" i="9"/>
  <c r="AK36" i="9"/>
  <c r="AK32" i="9"/>
  <c r="CU45" i="9"/>
  <c r="CU44" i="9"/>
  <c r="AK45" i="9"/>
  <c r="AK44" i="9"/>
  <c r="CU13" i="9"/>
  <c r="CU23" i="9"/>
  <c r="CU30" i="9"/>
  <c r="CU28" i="9"/>
  <c r="CU26" i="9"/>
  <c r="CU24" i="9"/>
  <c r="CU27" i="9"/>
  <c r="CU29" i="9"/>
  <c r="CU25" i="9"/>
  <c r="CU16" i="9"/>
  <c r="CU17" i="9"/>
  <c r="AK17" i="9"/>
  <c r="AK28" i="9"/>
  <c r="AK25" i="9"/>
  <c r="AK30" i="9"/>
  <c r="AK27" i="9"/>
  <c r="AK29" i="9"/>
  <c r="AK23" i="9"/>
  <c r="AK24" i="9"/>
  <c r="AK26" i="9"/>
  <c r="AK13" i="9"/>
  <c r="AK16" i="9"/>
  <c r="CU47" i="9"/>
  <c r="CU46" i="9"/>
  <c r="AK47" i="9"/>
  <c r="AK46" i="9"/>
  <c r="AK51" i="9"/>
  <c r="AK52" i="9"/>
  <c r="AK49" i="9"/>
  <c r="AK50" i="9"/>
  <c r="AK15" i="9"/>
  <c r="AK9" i="9"/>
  <c r="AK14" i="9"/>
  <c r="AK12" i="9"/>
  <c r="AL8" i="9"/>
  <c r="AK10" i="9"/>
  <c r="AK11" i="9"/>
  <c r="CU52" i="9"/>
  <c r="CU50" i="9"/>
  <c r="CU15" i="9"/>
  <c r="CU14" i="9"/>
  <c r="CU10" i="9"/>
  <c r="CU11" i="9"/>
  <c r="CU9" i="9"/>
  <c r="CU12" i="9"/>
  <c r="CV8" i="9"/>
  <c r="AL39" i="9" l="1"/>
  <c r="AL40" i="9"/>
  <c r="AL41" i="9"/>
  <c r="CV41" i="9"/>
  <c r="CV40" i="9"/>
  <c r="CV37" i="9"/>
  <c r="CV39" i="9"/>
  <c r="CV38" i="9"/>
  <c r="AL38" i="9"/>
  <c r="AL37" i="9"/>
  <c r="CV35" i="9"/>
  <c r="CV33" i="9"/>
  <c r="CV34" i="9"/>
  <c r="AL35" i="9"/>
  <c r="AL34" i="9"/>
  <c r="AL33" i="9"/>
  <c r="CV36" i="9"/>
  <c r="CV42" i="9"/>
  <c r="CV31" i="9"/>
  <c r="CV32" i="9"/>
  <c r="AL42" i="9"/>
  <c r="AL36" i="9"/>
  <c r="AL32" i="9"/>
  <c r="AL45" i="9"/>
  <c r="AL31" i="9"/>
  <c r="CV45" i="9"/>
  <c r="CV44" i="9"/>
  <c r="CV13" i="9"/>
  <c r="CV24" i="9"/>
  <c r="CV30" i="9"/>
  <c r="CV28" i="9"/>
  <c r="CV26" i="9"/>
  <c r="CV29" i="9"/>
  <c r="CV27" i="9"/>
  <c r="CV25" i="9"/>
  <c r="CV23" i="9"/>
  <c r="CV17" i="9"/>
  <c r="CV16" i="9"/>
  <c r="AL17" i="9"/>
  <c r="AL25" i="9"/>
  <c r="AL30" i="9"/>
  <c r="AL27" i="9"/>
  <c r="AL24" i="9"/>
  <c r="AL29" i="9"/>
  <c r="AL26" i="9"/>
  <c r="AL28" i="9"/>
  <c r="AL23" i="9"/>
  <c r="AL13" i="9"/>
  <c r="AL16" i="9"/>
  <c r="CV47" i="9"/>
  <c r="CV46" i="9"/>
  <c r="AL46" i="9"/>
  <c r="AL47" i="9"/>
  <c r="CV50" i="9"/>
  <c r="CV52" i="9"/>
  <c r="CV15" i="9"/>
  <c r="CV14" i="9"/>
  <c r="CV10" i="9"/>
  <c r="CV9" i="9"/>
  <c r="CV12" i="9"/>
  <c r="CW8" i="9"/>
  <c r="CV11" i="9"/>
  <c r="AL51" i="9"/>
  <c r="AL52" i="9"/>
  <c r="AL50" i="9"/>
  <c r="AL49" i="9"/>
  <c r="AL15" i="9"/>
  <c r="AL14" i="9"/>
  <c r="AL9" i="9"/>
  <c r="AL12" i="9"/>
  <c r="AM8" i="9"/>
  <c r="AL11" i="9"/>
  <c r="AM39" i="9" l="1"/>
  <c r="AM41" i="9"/>
  <c r="AM40" i="9"/>
  <c r="CW41" i="9"/>
  <c r="CW40" i="9"/>
  <c r="CW39" i="9"/>
  <c r="CW37" i="9"/>
  <c r="CW38" i="9"/>
  <c r="AM38" i="9"/>
  <c r="AM37" i="9"/>
  <c r="CW34" i="9"/>
  <c r="CW35" i="9"/>
  <c r="CW33" i="9"/>
  <c r="AM35" i="9"/>
  <c r="AM34" i="9"/>
  <c r="AM33" i="9"/>
  <c r="CW42" i="9"/>
  <c r="CW32" i="9"/>
  <c r="CW36" i="9"/>
  <c r="CW31" i="9"/>
  <c r="AM42" i="9"/>
  <c r="AM36" i="9"/>
  <c r="AM32" i="9"/>
  <c r="AM45" i="9"/>
  <c r="AM31" i="9"/>
  <c r="CW45" i="9"/>
  <c r="CW44" i="9"/>
  <c r="CW13" i="9"/>
  <c r="CW30" i="9"/>
  <c r="CW28" i="9"/>
  <c r="CW26" i="9"/>
  <c r="CW24" i="9"/>
  <c r="CW29" i="9"/>
  <c r="CW27" i="9"/>
  <c r="CW25" i="9"/>
  <c r="CW23" i="9"/>
  <c r="CW17" i="9"/>
  <c r="CW16" i="9"/>
  <c r="AM17" i="9"/>
  <c r="AM30" i="9"/>
  <c r="AM27" i="9"/>
  <c r="AM24" i="9"/>
  <c r="AM29" i="9"/>
  <c r="AM26" i="9"/>
  <c r="AM23" i="9"/>
  <c r="AM25" i="9"/>
  <c r="AM28" i="9"/>
  <c r="AM13" i="9"/>
  <c r="AM16" i="9"/>
  <c r="AM46" i="9"/>
  <c r="AM47" i="9"/>
  <c r="CW47" i="9"/>
  <c r="CW46" i="9"/>
  <c r="CW52" i="9"/>
  <c r="CW50" i="9"/>
  <c r="CW15" i="9"/>
  <c r="CW10" i="9"/>
  <c r="CW9" i="9"/>
  <c r="CW12" i="9"/>
  <c r="CX8" i="9"/>
  <c r="CW14" i="9"/>
  <c r="CW11" i="9"/>
  <c r="AM51" i="9"/>
  <c r="AM52" i="9"/>
  <c r="AM49" i="9"/>
  <c r="AM50" i="9"/>
  <c r="AM15" i="9"/>
  <c r="AM12" i="9"/>
  <c r="AN8" i="9"/>
  <c r="AM9" i="9"/>
  <c r="AM11" i="9"/>
  <c r="AM14" i="9"/>
  <c r="AN39" i="9" l="1"/>
  <c r="AN40" i="9"/>
  <c r="AN41" i="9"/>
  <c r="CX40" i="9"/>
  <c r="CX41" i="9"/>
  <c r="CX39" i="9"/>
  <c r="CX37" i="9"/>
  <c r="CX38" i="9"/>
  <c r="AN37" i="9"/>
  <c r="AN38" i="9"/>
  <c r="CX34" i="9"/>
  <c r="CX35" i="9"/>
  <c r="CX33" i="9"/>
  <c r="AN34" i="9"/>
  <c r="AN33" i="9"/>
  <c r="AN35" i="9"/>
  <c r="CX36" i="9"/>
  <c r="CX31" i="9"/>
  <c r="CX42" i="9"/>
  <c r="CX32" i="9"/>
  <c r="AN31" i="9"/>
  <c r="AN42" i="9"/>
  <c r="AN32" i="9"/>
  <c r="AN36" i="9"/>
  <c r="CX44" i="9"/>
  <c r="CX45" i="9"/>
  <c r="AN44" i="9"/>
  <c r="AN45" i="9"/>
  <c r="CX13" i="9"/>
  <c r="CX29" i="9"/>
  <c r="CX27" i="9"/>
  <c r="CX25" i="9"/>
  <c r="CX23" i="9"/>
  <c r="CX30" i="9"/>
  <c r="CX28" i="9"/>
  <c r="CX26" i="9"/>
  <c r="CX24" i="9"/>
  <c r="CX17" i="9"/>
  <c r="CX16" i="9"/>
  <c r="AN17" i="9"/>
  <c r="AN27" i="9"/>
  <c r="AN24" i="9"/>
  <c r="AN29" i="9"/>
  <c r="AN26" i="9"/>
  <c r="AN23" i="9"/>
  <c r="AN28" i="9"/>
  <c r="AN30" i="9"/>
  <c r="AN25" i="9"/>
  <c r="AN13" i="9"/>
  <c r="AN16" i="9"/>
  <c r="AN46" i="9"/>
  <c r="AN47" i="9"/>
  <c r="CX46" i="9"/>
  <c r="CX47" i="9"/>
  <c r="AN51" i="9"/>
  <c r="AN52" i="9"/>
  <c r="AN49" i="9"/>
  <c r="AN50" i="9"/>
  <c r="AN15" i="9"/>
  <c r="AN11" i="9"/>
  <c r="AN10" i="9"/>
  <c r="AN12" i="9"/>
  <c r="AN14" i="9"/>
  <c r="AN9" i="9"/>
  <c r="AO8" i="9"/>
  <c r="CX52" i="9"/>
  <c r="CX50" i="9"/>
  <c r="CX15" i="9"/>
  <c r="CX14" i="9"/>
  <c r="CX9" i="9"/>
  <c r="CY8" i="9"/>
  <c r="CX12" i="9"/>
  <c r="CX11" i="9"/>
  <c r="CX7" i="9"/>
  <c r="CX6" i="9"/>
  <c r="CX10" i="9"/>
  <c r="CY41" i="9" l="1"/>
  <c r="CY40" i="9"/>
  <c r="AO39" i="9"/>
  <c r="AO40" i="9"/>
  <c r="AO41" i="9"/>
  <c r="CY39" i="9"/>
  <c r="CY37" i="9"/>
  <c r="CY38" i="9"/>
  <c r="AO37" i="9"/>
  <c r="AO38" i="9"/>
  <c r="CY34" i="9"/>
  <c r="CY35" i="9"/>
  <c r="CY33" i="9"/>
  <c r="AO33" i="9"/>
  <c r="AO35" i="9"/>
  <c r="AO34" i="9"/>
  <c r="CY42" i="9"/>
  <c r="CY31" i="9"/>
  <c r="CY32" i="9"/>
  <c r="CY36" i="9"/>
  <c r="AO31" i="9"/>
  <c r="AO42" i="9"/>
  <c r="AO36" i="9"/>
  <c r="AO32" i="9"/>
  <c r="CY44" i="9"/>
  <c r="CY45" i="9"/>
  <c r="AO44" i="9"/>
  <c r="AO45" i="9"/>
  <c r="CY13" i="9"/>
  <c r="CY29" i="9"/>
  <c r="CY27" i="9"/>
  <c r="CY25" i="9"/>
  <c r="CY23" i="9"/>
  <c r="CY30" i="9"/>
  <c r="CY28" i="9"/>
  <c r="CY26" i="9"/>
  <c r="CY24" i="9"/>
  <c r="CY17" i="9"/>
  <c r="CY16" i="9"/>
  <c r="AO17" i="9"/>
  <c r="AO24" i="9"/>
  <c r="AO29" i="9"/>
  <c r="AO26" i="9"/>
  <c r="AO23" i="9"/>
  <c r="AO28" i="9"/>
  <c r="AO25" i="9"/>
  <c r="AO27" i="9"/>
  <c r="AO30" i="9"/>
  <c r="AO13" i="9"/>
  <c r="AO16" i="9"/>
  <c r="CY47" i="9"/>
  <c r="CY46" i="9"/>
  <c r="AO46" i="9"/>
  <c r="AO47" i="9"/>
  <c r="AO51" i="9"/>
  <c r="AO52" i="9"/>
  <c r="AO50" i="9"/>
  <c r="AO49" i="9"/>
  <c r="AO15" i="9"/>
  <c r="AO11" i="9"/>
  <c r="AO10" i="9"/>
  <c r="AO14" i="9"/>
  <c r="AP8" i="9"/>
  <c r="AO12" i="9"/>
  <c r="AO9" i="9"/>
  <c r="CY52" i="9"/>
  <c r="CY50" i="9"/>
  <c r="CY15" i="9"/>
  <c r="CY12" i="9"/>
  <c r="CZ8" i="9"/>
  <c r="CY9" i="9"/>
  <c r="CY11" i="9"/>
  <c r="CY14" i="9"/>
  <c r="CY10" i="9"/>
  <c r="AP39" i="9" l="1"/>
  <c r="AP41" i="9"/>
  <c r="AP40" i="9"/>
  <c r="CZ40" i="9"/>
  <c r="CZ41" i="9"/>
  <c r="CZ38" i="9"/>
  <c r="CZ39" i="9"/>
  <c r="CZ37" i="9"/>
  <c r="AP38" i="9"/>
  <c r="AP37" i="9"/>
  <c r="CZ34" i="9"/>
  <c r="CZ35" i="9"/>
  <c r="CZ33" i="9"/>
  <c r="AP35" i="9"/>
  <c r="AP34" i="9"/>
  <c r="AP33" i="9"/>
  <c r="CZ31" i="9"/>
  <c r="CZ36" i="9"/>
  <c r="CZ32" i="9"/>
  <c r="CZ42" i="9"/>
  <c r="AP31" i="9"/>
  <c r="AP42" i="9"/>
  <c r="AP36" i="9"/>
  <c r="AP32" i="9"/>
  <c r="CZ44" i="9"/>
  <c r="CZ45" i="9"/>
  <c r="AP44" i="9"/>
  <c r="AP45" i="9"/>
  <c r="CZ13" i="9"/>
  <c r="CZ27" i="9"/>
  <c r="CZ25" i="9"/>
  <c r="CZ30" i="9"/>
  <c r="CZ28" i="9"/>
  <c r="CZ26" i="9"/>
  <c r="CZ24" i="9"/>
  <c r="CZ29" i="9"/>
  <c r="CZ23" i="9"/>
  <c r="CZ16" i="9"/>
  <c r="CZ17" i="9"/>
  <c r="AP17" i="9"/>
  <c r="AP29" i="9"/>
  <c r="AP26" i="9"/>
  <c r="AP23" i="9"/>
  <c r="AP28" i="9"/>
  <c r="AP25" i="9"/>
  <c r="AP30" i="9"/>
  <c r="AP24" i="9"/>
  <c r="AP27" i="9"/>
  <c r="AP13" i="9"/>
  <c r="AP16" i="9"/>
  <c r="CZ46" i="9"/>
  <c r="CZ47" i="9"/>
  <c r="AP46" i="9"/>
  <c r="AP47" i="9"/>
  <c r="CZ52" i="9"/>
  <c r="CZ50" i="9"/>
  <c r="CZ15" i="9"/>
  <c r="DA8" i="9"/>
  <c r="CZ11" i="9"/>
  <c r="CZ12" i="9"/>
  <c r="CZ9" i="9"/>
  <c r="CZ14" i="9"/>
  <c r="CZ10" i="9"/>
  <c r="AP52" i="9"/>
  <c r="AP51" i="9"/>
  <c r="AP49" i="9"/>
  <c r="AP50" i="9"/>
  <c r="AP15" i="9"/>
  <c r="AP11" i="9"/>
  <c r="AP10" i="9"/>
  <c r="AP14" i="9"/>
  <c r="AP6" i="9"/>
  <c r="AP9" i="9"/>
  <c r="AP7" i="9"/>
  <c r="AP12" i="9"/>
  <c r="AQ8" i="9"/>
  <c r="AQ39" i="9" l="1"/>
  <c r="AQ41" i="9"/>
  <c r="AQ40" i="9"/>
  <c r="DA40" i="9"/>
  <c r="DA41" i="9"/>
  <c r="DA38" i="9"/>
  <c r="DA39" i="9"/>
  <c r="DA37" i="9"/>
  <c r="AQ38" i="9"/>
  <c r="AQ37" i="9"/>
  <c r="DA35" i="9"/>
  <c r="DA33" i="9"/>
  <c r="DA34" i="9"/>
  <c r="AQ35" i="9"/>
  <c r="AQ34" i="9"/>
  <c r="AQ33" i="9"/>
  <c r="DA42" i="9"/>
  <c r="DA31" i="9"/>
  <c r="DA32" i="9"/>
  <c r="DA36" i="9"/>
  <c r="AQ31" i="9"/>
  <c r="AQ42" i="9"/>
  <c r="AQ36" i="9"/>
  <c r="AQ32" i="9"/>
  <c r="DA44" i="9"/>
  <c r="DA45" i="9"/>
  <c r="AQ45" i="9"/>
  <c r="AQ44" i="9"/>
  <c r="DA13" i="9"/>
  <c r="DA29" i="9"/>
  <c r="DA27" i="9"/>
  <c r="DA25" i="9"/>
  <c r="DA23" i="9"/>
  <c r="DA30" i="9"/>
  <c r="DA28" i="9"/>
  <c r="DA26" i="9"/>
  <c r="DA24" i="9"/>
  <c r="DA16" i="9"/>
  <c r="DA17" i="9"/>
  <c r="AQ17" i="9"/>
  <c r="AQ26" i="9"/>
  <c r="AQ23" i="9"/>
  <c r="AQ28" i="9"/>
  <c r="AQ25" i="9"/>
  <c r="AQ30" i="9"/>
  <c r="AQ27" i="9"/>
  <c r="AQ29" i="9"/>
  <c r="AQ24" i="9"/>
  <c r="AQ13" i="9"/>
  <c r="AQ16" i="9"/>
  <c r="AQ47" i="9"/>
  <c r="AQ46" i="9"/>
  <c r="DA46" i="9"/>
  <c r="DA47" i="9"/>
  <c r="AQ49" i="9"/>
  <c r="AQ51" i="9"/>
  <c r="AQ52" i="9"/>
  <c r="AQ50" i="9"/>
  <c r="AQ15" i="9"/>
  <c r="AQ10" i="9"/>
  <c r="AQ14" i="9"/>
  <c r="AQ9" i="9"/>
  <c r="AQ12" i="9"/>
  <c r="AR8" i="9"/>
  <c r="AQ11" i="9"/>
  <c r="DJ63" i="9"/>
  <c r="DJ62" i="9"/>
  <c r="DA52" i="9"/>
  <c r="DJ61" i="9"/>
  <c r="DA50" i="9"/>
  <c r="DJ64" i="9"/>
  <c r="DA15" i="9"/>
  <c r="DA11" i="9"/>
  <c r="DA14" i="9"/>
  <c r="DA12" i="9"/>
  <c r="DB8" i="9"/>
  <c r="DA10" i="9"/>
  <c r="DA9" i="9"/>
  <c r="DB41" i="9" l="1"/>
  <c r="DB40" i="9"/>
  <c r="AR39" i="9"/>
  <c r="AR41" i="9"/>
  <c r="AR40" i="9"/>
  <c r="DB38" i="9"/>
  <c r="DB39" i="9"/>
  <c r="DB37" i="9"/>
  <c r="AR38" i="9"/>
  <c r="AR37" i="9"/>
  <c r="DB35" i="9"/>
  <c r="DB33" i="9"/>
  <c r="DB34" i="9"/>
  <c r="AR35" i="9"/>
  <c r="AR34" i="9"/>
  <c r="AR33" i="9"/>
  <c r="DB31" i="9"/>
  <c r="DB32" i="9"/>
  <c r="DB36" i="9"/>
  <c r="DB42" i="9"/>
  <c r="AR32" i="9"/>
  <c r="AR42" i="9"/>
  <c r="AR36" i="9"/>
  <c r="AR45" i="9"/>
  <c r="AR31" i="9"/>
  <c r="DB44" i="9"/>
  <c r="DB45" i="9"/>
  <c r="DB13" i="9"/>
  <c r="DB30" i="9"/>
  <c r="DB28" i="9"/>
  <c r="DB26" i="9"/>
  <c r="DB24" i="9"/>
  <c r="DB29" i="9"/>
  <c r="DB27" i="9"/>
  <c r="DB25" i="9"/>
  <c r="DB23" i="9"/>
  <c r="DB16" i="9"/>
  <c r="DB17" i="9"/>
  <c r="AR17" i="9"/>
  <c r="AR23" i="9"/>
  <c r="AR28" i="9"/>
  <c r="AR25" i="9"/>
  <c r="AR30" i="9"/>
  <c r="AR27" i="9"/>
  <c r="AR24" i="9"/>
  <c r="AR26" i="9"/>
  <c r="AR29" i="9"/>
  <c r="AR13" i="9"/>
  <c r="AR16" i="9"/>
  <c r="AR47" i="9"/>
  <c r="AR46" i="9"/>
  <c r="DB46" i="9"/>
  <c r="DB47" i="9"/>
  <c r="DB52" i="9"/>
  <c r="DB50" i="9"/>
  <c r="DB15" i="9"/>
  <c r="DB11" i="9"/>
  <c r="DB14" i="9"/>
  <c r="DB10" i="9"/>
  <c r="DB9" i="9"/>
  <c r="DB12" i="9"/>
  <c r="DC8" i="9"/>
  <c r="AR50" i="9"/>
  <c r="AR51" i="9"/>
  <c r="AR52" i="9"/>
  <c r="AR49" i="9"/>
  <c r="AR15" i="9"/>
  <c r="AR14" i="9"/>
  <c r="AR9" i="9"/>
  <c r="AR12" i="9"/>
  <c r="AS8" i="9"/>
  <c r="AR11" i="9"/>
  <c r="AS39" i="9" l="1"/>
  <c r="AS41" i="9"/>
  <c r="AS40" i="9"/>
  <c r="DC41" i="9"/>
  <c r="DC40" i="9"/>
  <c r="DC38" i="9"/>
  <c r="DC37" i="9"/>
  <c r="DC39" i="9"/>
  <c r="AS38" i="9"/>
  <c r="AS37" i="9"/>
  <c r="DC35" i="9"/>
  <c r="DC33" i="9"/>
  <c r="DC34" i="9"/>
  <c r="AS35" i="9"/>
  <c r="AS34" i="9"/>
  <c r="AS33" i="9"/>
  <c r="DC32" i="9"/>
  <c r="DC36" i="9"/>
  <c r="DC42" i="9"/>
  <c r="DC31" i="9"/>
  <c r="AS42" i="9"/>
  <c r="AS36" i="9"/>
  <c r="AS32" i="9"/>
  <c r="AS45" i="9"/>
  <c r="AS31" i="9"/>
  <c r="DC45" i="9"/>
  <c r="DC44" i="9"/>
  <c r="DC13" i="9"/>
  <c r="DC30" i="9"/>
  <c r="DC28" i="9"/>
  <c r="DC26" i="9"/>
  <c r="DC24" i="9"/>
  <c r="DC23" i="9"/>
  <c r="DC29" i="9"/>
  <c r="DC27" i="9"/>
  <c r="DC25" i="9"/>
  <c r="DC16" i="9"/>
  <c r="DC17" i="9"/>
  <c r="AS17" i="9"/>
  <c r="AS28" i="9"/>
  <c r="AS25" i="9"/>
  <c r="AS30" i="9"/>
  <c r="AS27" i="9"/>
  <c r="AS24" i="9"/>
  <c r="AS29" i="9"/>
  <c r="AS23" i="9"/>
  <c r="AS26" i="9"/>
  <c r="AS13" i="9"/>
  <c r="AS16" i="9"/>
  <c r="DC47" i="9"/>
  <c r="DC46" i="9"/>
  <c r="AS47" i="9"/>
  <c r="AS46" i="9"/>
  <c r="DC52" i="9"/>
  <c r="DC50" i="9"/>
  <c r="DC15" i="9"/>
  <c r="DC14" i="9"/>
  <c r="DC10" i="9"/>
  <c r="DC9" i="9"/>
  <c r="DC7" i="9"/>
  <c r="DC6" i="9"/>
  <c r="DC12" i="9"/>
  <c r="DD8" i="9"/>
  <c r="DC11" i="9"/>
  <c r="AS51" i="9"/>
  <c r="AS52" i="9"/>
  <c r="AS49" i="9"/>
  <c r="AS50" i="9"/>
  <c r="AS15" i="9"/>
  <c r="AS9" i="9"/>
  <c r="AS12" i="9"/>
  <c r="AT8" i="9"/>
  <c r="AS14" i="9"/>
  <c r="AS11" i="9"/>
  <c r="AT39" i="9" l="1"/>
  <c r="AT40" i="9"/>
  <c r="AT41" i="9"/>
  <c r="DD41" i="9"/>
  <c r="DD40" i="9"/>
  <c r="DD37" i="9"/>
  <c r="DD39" i="9"/>
  <c r="DD38" i="9"/>
  <c r="AT37" i="9"/>
  <c r="AT38" i="9"/>
  <c r="DD35" i="9"/>
  <c r="DD33" i="9"/>
  <c r="DD34" i="9"/>
  <c r="AT35" i="9"/>
  <c r="AT34" i="9"/>
  <c r="AT33" i="9"/>
  <c r="DD36" i="9"/>
  <c r="DD42" i="9"/>
  <c r="DD32" i="9"/>
  <c r="DD31" i="9"/>
  <c r="AT31" i="9"/>
  <c r="AT42" i="9"/>
  <c r="AT32" i="9"/>
  <c r="AT36" i="9"/>
  <c r="DD44" i="9"/>
  <c r="DD45" i="9"/>
  <c r="AT45" i="9"/>
  <c r="AT44" i="9"/>
  <c r="DD13" i="9"/>
  <c r="DD26" i="9"/>
  <c r="DD30" i="9"/>
  <c r="DD28" i="9"/>
  <c r="DD24" i="9"/>
  <c r="DD29" i="9"/>
  <c r="DD27" i="9"/>
  <c r="DD25" i="9"/>
  <c r="DD23" i="9"/>
  <c r="DD17" i="9"/>
  <c r="DD16" i="9"/>
  <c r="AT17" i="9"/>
  <c r="AT25" i="9"/>
  <c r="AT30" i="9"/>
  <c r="AT27" i="9"/>
  <c r="AT24" i="9"/>
  <c r="AT29" i="9"/>
  <c r="AT26" i="9"/>
  <c r="AT28" i="9"/>
  <c r="AT23" i="9"/>
  <c r="AT13" i="9"/>
  <c r="AT16" i="9"/>
  <c r="AT46" i="9"/>
  <c r="AT47" i="9"/>
  <c r="DD47" i="9"/>
  <c r="DD46" i="9"/>
  <c r="AT51" i="9"/>
  <c r="AT52" i="9"/>
  <c r="AT50" i="9"/>
  <c r="AT49" i="9"/>
  <c r="AT15" i="9"/>
  <c r="AT14" i="9"/>
  <c r="AT9" i="9"/>
  <c r="AU8" i="9"/>
  <c r="AT12" i="9"/>
  <c r="AT10" i="9"/>
  <c r="AT11" i="9"/>
  <c r="DD50" i="9"/>
  <c r="DD52" i="9"/>
  <c r="DD15" i="9"/>
  <c r="DD14" i="9"/>
  <c r="DD10" i="9"/>
  <c r="DD9" i="9"/>
  <c r="DD12" i="9"/>
  <c r="DE8" i="9"/>
  <c r="DD11" i="9"/>
  <c r="AU39" i="9" l="1"/>
  <c r="AU41" i="9"/>
  <c r="AU40" i="9"/>
  <c r="DE41" i="9"/>
  <c r="DE40" i="9"/>
  <c r="DE37" i="9"/>
  <c r="DE39" i="9"/>
  <c r="DE38" i="9"/>
  <c r="AU38" i="9"/>
  <c r="AU37" i="9"/>
  <c r="DE34" i="9"/>
  <c r="DE35" i="9"/>
  <c r="DE33" i="9"/>
  <c r="AU35" i="9"/>
  <c r="AU34" i="9"/>
  <c r="AU33" i="9"/>
  <c r="DE42" i="9"/>
  <c r="DE36" i="9"/>
  <c r="DE31" i="9"/>
  <c r="DE32" i="9"/>
  <c r="AU31" i="9"/>
  <c r="AU42" i="9"/>
  <c r="AU36" i="9"/>
  <c r="AU32" i="9"/>
  <c r="DE45" i="9"/>
  <c r="DE44" i="9"/>
  <c r="AU45" i="9"/>
  <c r="AU44" i="9"/>
  <c r="DE13" i="9"/>
  <c r="DE30" i="9"/>
  <c r="DE28" i="9"/>
  <c r="DE26" i="9"/>
  <c r="DE24" i="9"/>
  <c r="DE29" i="9"/>
  <c r="DE27" i="9"/>
  <c r="DE25" i="9"/>
  <c r="DE23" i="9"/>
  <c r="DE17" i="9"/>
  <c r="DE16" i="9"/>
  <c r="AU17" i="9"/>
  <c r="AU30" i="9"/>
  <c r="AU27" i="9"/>
  <c r="AU24" i="9"/>
  <c r="AU29" i="9"/>
  <c r="AU26" i="9"/>
  <c r="AU23" i="9"/>
  <c r="AU25" i="9"/>
  <c r="AU28" i="9"/>
  <c r="AU13" i="9"/>
  <c r="AU16" i="9"/>
  <c r="DE47" i="9"/>
  <c r="DE46" i="9"/>
  <c r="AU47" i="9"/>
  <c r="AU46" i="9"/>
  <c r="DE52" i="9"/>
  <c r="DE50" i="9"/>
  <c r="DE15" i="9"/>
  <c r="DE10" i="9"/>
  <c r="DE14" i="9"/>
  <c r="DE9" i="9"/>
  <c r="DE12" i="9"/>
  <c r="DF8" i="9"/>
  <c r="DE11" i="9"/>
  <c r="AU51" i="9"/>
  <c r="AU52" i="9"/>
  <c r="AU49" i="9"/>
  <c r="AU50" i="9"/>
  <c r="AU15" i="9"/>
  <c r="AU12" i="9"/>
  <c r="AV8" i="9"/>
  <c r="AU11" i="9"/>
  <c r="AU14" i="9"/>
  <c r="AU10" i="9"/>
  <c r="AU9" i="9"/>
  <c r="AV39" i="9" l="1"/>
  <c r="AV40" i="9"/>
  <c r="AV41" i="9"/>
  <c r="DF41" i="9"/>
  <c r="DF40" i="9"/>
  <c r="DF39" i="9"/>
  <c r="DF37" i="9"/>
  <c r="DF38" i="9"/>
  <c r="AV37" i="9"/>
  <c r="AV38" i="9"/>
  <c r="DF34" i="9"/>
  <c r="DF35" i="9"/>
  <c r="DF33" i="9"/>
  <c r="AV34" i="9"/>
  <c r="AV35" i="9"/>
  <c r="AV33" i="9"/>
  <c r="DF31" i="9"/>
  <c r="DF42" i="9"/>
  <c r="DF36" i="9"/>
  <c r="DF32" i="9"/>
  <c r="AV31" i="9"/>
  <c r="AV36" i="9"/>
  <c r="AV32" i="9"/>
  <c r="AV42" i="9"/>
  <c r="DF45" i="9"/>
  <c r="DF44" i="9"/>
  <c r="AV44" i="9"/>
  <c r="AV45" i="9"/>
  <c r="DF13" i="9"/>
  <c r="DF29" i="9"/>
  <c r="DF27" i="9"/>
  <c r="DF25" i="9"/>
  <c r="DF23" i="9"/>
  <c r="DF30" i="9"/>
  <c r="DF28" i="9"/>
  <c r="DF26" i="9"/>
  <c r="DF24" i="9"/>
  <c r="DF17" i="9"/>
  <c r="DF16" i="9"/>
  <c r="AV17" i="9"/>
  <c r="AV27" i="9"/>
  <c r="AV24" i="9"/>
  <c r="AV29" i="9"/>
  <c r="AV26" i="9"/>
  <c r="AV28" i="9"/>
  <c r="AV30" i="9"/>
  <c r="AV23" i="9"/>
  <c r="AV25" i="9"/>
  <c r="AV13" i="9"/>
  <c r="AV16" i="9"/>
  <c r="DF46" i="9"/>
  <c r="DF47" i="9"/>
  <c r="AV46" i="9"/>
  <c r="AV47" i="9"/>
  <c r="DF52" i="9"/>
  <c r="DF50" i="9"/>
  <c r="DF15" i="9"/>
  <c r="DF9" i="9"/>
  <c r="DG8" i="9"/>
  <c r="DF12" i="9"/>
  <c r="DF10" i="9"/>
  <c r="DF11" i="9"/>
  <c r="DF14" i="9"/>
  <c r="AV51" i="9"/>
  <c r="AV52" i="9"/>
  <c r="AV49" i="9"/>
  <c r="AV50" i="9"/>
  <c r="AV15" i="9"/>
  <c r="AV11" i="9"/>
  <c r="AV12" i="9"/>
  <c r="AV9" i="9"/>
  <c r="AW8" i="9"/>
  <c r="AV14" i="9"/>
  <c r="AV10" i="9"/>
  <c r="AW39" i="9" l="1"/>
  <c r="AW40" i="9"/>
  <c r="AW41" i="9"/>
  <c r="DG41" i="9"/>
  <c r="DG40" i="9"/>
  <c r="DG39" i="9"/>
  <c r="DG37" i="9"/>
  <c r="DG38" i="9"/>
  <c r="AW38" i="9"/>
  <c r="AW37" i="9"/>
  <c r="DG34" i="9"/>
  <c r="DG35" i="9"/>
  <c r="DG33" i="9"/>
  <c r="AW33" i="9"/>
  <c r="AW35" i="9"/>
  <c r="AW34" i="9"/>
  <c r="DG31" i="9"/>
  <c r="DG42" i="9"/>
  <c r="DG32" i="9"/>
  <c r="DG36" i="9"/>
  <c r="AW31" i="9"/>
  <c r="AW42" i="9"/>
  <c r="AW36" i="9"/>
  <c r="AW32" i="9"/>
  <c r="DG45" i="9"/>
  <c r="DG44" i="9"/>
  <c r="AW44" i="9"/>
  <c r="AW45" i="9"/>
  <c r="DG13" i="9"/>
  <c r="DG29" i="9"/>
  <c r="DG27" i="9"/>
  <c r="DG25" i="9"/>
  <c r="DG23" i="9"/>
  <c r="DG24" i="9"/>
  <c r="DG28" i="9"/>
  <c r="DG26" i="9"/>
  <c r="DG30" i="9"/>
  <c r="DG17" i="9"/>
  <c r="DG16" i="9"/>
  <c r="AW17" i="9"/>
  <c r="AW24" i="9"/>
  <c r="AW29" i="9"/>
  <c r="AW26" i="9"/>
  <c r="AW23" i="9"/>
  <c r="AW28" i="9"/>
  <c r="AW25" i="9"/>
  <c r="AW27" i="9"/>
  <c r="AW30" i="9"/>
  <c r="AW13" i="9"/>
  <c r="AW16" i="9"/>
  <c r="DG47" i="9"/>
  <c r="DG46" i="9"/>
  <c r="AW46" i="9"/>
  <c r="AW47" i="9"/>
  <c r="AW51" i="9"/>
  <c r="AW52" i="9"/>
  <c r="AW50" i="9"/>
  <c r="AW49" i="9"/>
  <c r="AW15" i="9"/>
  <c r="AW11" i="9"/>
  <c r="AW14" i="9"/>
  <c r="AW10" i="9"/>
  <c r="AX8" i="9"/>
  <c r="AW9" i="9"/>
  <c r="AW7" i="9"/>
  <c r="AW6" i="9"/>
  <c r="AW12" i="9"/>
  <c r="DG52" i="9"/>
  <c r="DG50" i="9"/>
  <c r="DG12" i="9"/>
  <c r="DG11" i="9"/>
  <c r="DG10" i="9"/>
  <c r="DG9" i="9"/>
  <c r="DG15" i="9"/>
  <c r="DG14" i="9"/>
  <c r="AX39" i="9" l="1"/>
  <c r="AX41" i="9"/>
  <c r="AX40" i="9"/>
  <c r="AX38" i="9"/>
  <c r="AX37" i="9"/>
  <c r="AX35" i="9"/>
  <c r="AX34" i="9"/>
  <c r="AX33" i="9"/>
  <c r="AX31" i="9"/>
  <c r="AX42" i="9"/>
  <c r="AX36" i="9"/>
  <c r="AX32" i="9"/>
  <c r="AX44" i="9"/>
  <c r="AX45" i="9"/>
  <c r="AX17" i="9"/>
  <c r="AX29" i="9"/>
  <c r="AX26" i="9"/>
  <c r="AX23" i="9"/>
  <c r="AX28" i="9"/>
  <c r="AX25" i="9"/>
  <c r="AX30" i="9"/>
  <c r="AX24" i="9"/>
  <c r="AX27" i="9"/>
  <c r="AX13" i="9"/>
  <c r="AX16" i="9"/>
  <c r="AX47" i="9"/>
  <c r="AX46" i="9"/>
  <c r="AX52" i="9"/>
  <c r="AX49" i="9"/>
  <c r="AX50" i="9"/>
  <c r="AX51" i="9"/>
  <c r="AX15" i="9"/>
  <c r="AX11" i="9"/>
  <c r="AX14" i="9"/>
  <c r="AX10" i="9"/>
  <c r="AX9" i="9"/>
  <c r="AX12" i="9"/>
  <c r="AY8" i="9"/>
  <c r="AY39" i="9" l="1"/>
  <c r="AY41" i="9"/>
  <c r="AY40" i="9"/>
  <c r="AY38" i="9"/>
  <c r="AY37" i="9"/>
  <c r="AY35" i="9"/>
  <c r="AY34" i="9"/>
  <c r="AY33" i="9"/>
  <c r="AY31" i="9"/>
  <c r="AY42" i="9"/>
  <c r="AY36" i="9"/>
  <c r="AY32" i="9"/>
  <c r="AY44" i="9"/>
  <c r="AY45" i="9"/>
  <c r="AY17" i="9"/>
  <c r="AY26" i="9"/>
  <c r="AY23" i="9"/>
  <c r="AY28" i="9"/>
  <c r="AY25" i="9"/>
  <c r="AY30" i="9"/>
  <c r="AY27" i="9"/>
  <c r="AY29" i="9"/>
  <c r="AY24" i="9"/>
  <c r="AY13" i="9"/>
  <c r="AY16" i="9"/>
  <c r="AY47" i="9"/>
  <c r="AY46" i="9"/>
  <c r="AY49" i="9"/>
  <c r="AY50" i="9"/>
  <c r="AY52" i="9"/>
  <c r="AY51" i="9"/>
  <c r="AY15" i="9"/>
  <c r="AY14" i="9"/>
  <c r="AY10" i="9"/>
  <c r="AY11" i="9"/>
  <c r="AY9" i="9"/>
  <c r="AY12" i="9"/>
  <c r="AZ8" i="9"/>
  <c r="AZ39" i="9" l="1"/>
  <c r="AZ41" i="9"/>
  <c r="AZ40" i="9"/>
  <c r="AZ38" i="9"/>
  <c r="AZ37" i="9"/>
  <c r="AZ35" i="9"/>
  <c r="AZ34" i="9"/>
  <c r="AZ33" i="9"/>
  <c r="AZ42" i="9"/>
  <c r="AZ36" i="9"/>
  <c r="AZ32" i="9"/>
  <c r="AZ45" i="9"/>
  <c r="AZ31" i="9"/>
  <c r="AZ17" i="9"/>
  <c r="AZ23" i="9"/>
  <c r="AZ28" i="9"/>
  <c r="AZ25" i="9"/>
  <c r="AZ30" i="9"/>
  <c r="AZ27" i="9"/>
  <c r="AZ24" i="9"/>
  <c r="AZ26" i="9"/>
  <c r="AZ29" i="9"/>
  <c r="AZ13" i="9"/>
  <c r="AZ16" i="9"/>
  <c r="AZ47" i="9"/>
  <c r="AZ46" i="9"/>
  <c r="AZ50" i="9"/>
  <c r="AZ51" i="9"/>
  <c r="AZ49" i="9"/>
  <c r="AZ52" i="9"/>
  <c r="AZ15" i="9"/>
  <c r="AZ14" i="9"/>
  <c r="AZ9" i="9"/>
  <c r="AZ12" i="9"/>
  <c r="BA8" i="9"/>
  <c r="AZ11" i="9"/>
  <c r="BA39" i="9" l="1"/>
  <c r="BA41" i="9"/>
  <c r="BA40" i="9"/>
  <c r="BA38" i="9"/>
  <c r="BA37" i="9"/>
  <c r="BA35" i="9"/>
  <c r="BA34" i="9"/>
  <c r="BA33" i="9"/>
  <c r="BA42" i="9"/>
  <c r="BA36" i="9"/>
  <c r="BA32" i="9"/>
  <c r="BA45" i="9"/>
  <c r="BA31" i="9"/>
  <c r="BA17" i="9"/>
  <c r="BA28" i="9"/>
  <c r="BA25" i="9"/>
  <c r="BA30" i="9"/>
  <c r="BA27" i="9"/>
  <c r="BA24" i="9"/>
  <c r="BA29" i="9"/>
  <c r="BA23" i="9"/>
  <c r="BA26" i="9"/>
  <c r="BA13" i="9"/>
  <c r="BA16" i="9"/>
  <c r="BA47" i="9"/>
  <c r="BA46" i="9"/>
  <c r="BA51" i="9"/>
  <c r="BA52" i="9"/>
  <c r="BA50" i="9"/>
  <c r="BA49" i="9"/>
  <c r="BA9" i="9"/>
  <c r="BA15" i="9"/>
  <c r="BA12" i="9"/>
  <c r="BB8" i="9"/>
  <c r="BA14" i="9"/>
  <c r="BA11" i="9"/>
  <c r="BB39" i="9" l="1"/>
  <c r="BB40" i="9"/>
  <c r="BB41" i="9"/>
  <c r="BB38" i="9"/>
  <c r="BB37" i="9"/>
  <c r="BB35" i="9"/>
  <c r="BB34" i="9"/>
  <c r="BB33" i="9"/>
  <c r="BB31" i="9"/>
  <c r="BB42" i="9"/>
  <c r="BB36" i="9"/>
  <c r="BB32" i="9"/>
  <c r="BB45" i="9"/>
  <c r="BB44" i="9"/>
  <c r="BB17" i="9"/>
  <c r="BB25" i="9"/>
  <c r="BB30" i="9"/>
  <c r="BB27" i="9"/>
  <c r="BB24" i="9"/>
  <c r="BB29" i="9"/>
  <c r="BB26" i="9"/>
  <c r="BB28" i="9"/>
  <c r="BB23" i="9"/>
  <c r="BB13" i="9"/>
  <c r="BB16" i="9"/>
  <c r="BB46" i="9"/>
  <c r="BB47" i="9"/>
  <c r="BB51" i="9"/>
  <c r="BB52" i="9"/>
  <c r="BB49" i="9"/>
  <c r="BB50" i="9"/>
  <c r="BB15" i="9"/>
  <c r="BB14" i="9"/>
  <c r="BB9" i="9"/>
  <c r="BB12" i="9"/>
  <c r="BB10" i="9"/>
  <c r="BC8" i="9"/>
  <c r="BB11" i="9"/>
  <c r="BC39" i="9" l="1"/>
  <c r="BC41" i="9"/>
  <c r="BC40" i="9"/>
  <c r="BC38" i="9"/>
  <c r="BC37" i="9"/>
  <c r="BC35" i="9"/>
  <c r="BC34" i="9"/>
  <c r="BC33" i="9"/>
  <c r="BC31" i="9"/>
  <c r="BC42" i="9"/>
  <c r="BC36" i="9"/>
  <c r="BC32" i="9"/>
  <c r="BC45" i="9"/>
  <c r="BC44" i="9"/>
  <c r="BC17" i="9"/>
  <c r="BC30" i="9"/>
  <c r="BC27" i="9"/>
  <c r="BC24" i="9"/>
  <c r="BC29" i="9"/>
  <c r="BC26" i="9"/>
  <c r="BC23" i="9"/>
  <c r="BC25" i="9"/>
  <c r="BC28" i="9"/>
  <c r="BC13" i="9"/>
  <c r="BC16" i="9"/>
  <c r="BC46" i="9"/>
  <c r="BC47" i="9"/>
  <c r="BC51" i="9"/>
  <c r="BC52" i="9"/>
  <c r="BC49" i="9"/>
  <c r="BC50" i="9"/>
  <c r="BC15" i="9"/>
  <c r="BC12" i="9"/>
  <c r="BC10" i="9"/>
  <c r="BD8" i="9"/>
  <c r="BC11" i="9"/>
  <c r="BC9" i="9"/>
  <c r="BC14" i="9"/>
  <c r="BD39" i="9" l="1"/>
  <c r="BD40" i="9"/>
  <c r="BD41" i="9"/>
  <c r="BD37" i="9"/>
  <c r="BD38" i="9"/>
  <c r="BD34" i="9"/>
  <c r="BD33" i="9"/>
  <c r="BD35" i="9"/>
  <c r="BD31" i="9"/>
  <c r="BD36" i="9"/>
  <c r="BD42" i="9"/>
  <c r="BD32" i="9"/>
  <c r="BD44" i="9"/>
  <c r="BD45" i="9"/>
  <c r="BD17" i="9"/>
  <c r="BD27" i="9"/>
  <c r="BD24" i="9"/>
  <c r="BD29" i="9"/>
  <c r="BD26" i="9"/>
  <c r="BD28" i="9"/>
  <c r="BD30" i="9"/>
  <c r="BD23" i="9"/>
  <c r="BD25" i="9"/>
  <c r="BD13" i="9"/>
  <c r="BD16" i="9"/>
  <c r="BD46" i="9"/>
  <c r="BD47" i="9"/>
  <c r="BD51" i="9"/>
  <c r="BD52" i="9"/>
  <c r="BD49" i="9"/>
  <c r="BD50" i="9"/>
  <c r="BD15" i="9"/>
  <c r="BD12" i="9"/>
  <c r="BD10" i="9"/>
  <c r="BE8" i="9"/>
  <c r="BD11" i="9"/>
  <c r="BD14" i="9"/>
  <c r="BD7" i="9"/>
  <c r="BD6" i="9"/>
  <c r="BD9" i="9"/>
  <c r="BE39" i="9" l="1"/>
  <c r="BE41" i="9"/>
  <c r="BE40" i="9"/>
  <c r="BE37" i="9"/>
  <c r="BE38" i="9"/>
  <c r="BE33" i="9"/>
  <c r="BE35" i="9"/>
  <c r="BE34" i="9"/>
  <c r="BE31" i="9"/>
  <c r="BE42" i="9"/>
  <c r="BE36" i="9"/>
  <c r="BE32" i="9"/>
  <c r="BE45" i="9"/>
  <c r="BE44" i="9"/>
  <c r="BE17" i="9"/>
  <c r="BE24" i="9"/>
  <c r="BE29" i="9"/>
  <c r="BE26" i="9"/>
  <c r="BE23" i="9"/>
  <c r="BE28" i="9"/>
  <c r="BE25" i="9"/>
  <c r="BE27" i="9"/>
  <c r="BE30" i="9"/>
  <c r="BE13" i="9"/>
  <c r="BE16" i="9"/>
  <c r="BE46" i="9"/>
  <c r="BE47" i="9"/>
  <c r="BE51" i="9"/>
  <c r="BE52" i="9"/>
  <c r="BE50" i="9"/>
  <c r="BE49" i="9"/>
  <c r="BE15" i="9"/>
  <c r="BE11" i="9"/>
  <c r="BE14" i="9"/>
  <c r="BE12" i="9"/>
  <c r="BE10" i="9"/>
  <c r="BF8" i="9"/>
  <c r="BE9" i="9"/>
  <c r="BF39" i="9" l="1"/>
  <c r="BF41" i="9"/>
  <c r="BF40" i="9"/>
  <c r="BF38" i="9"/>
  <c r="BF37" i="9"/>
  <c r="BF35" i="9"/>
  <c r="BF34" i="9"/>
  <c r="BF33" i="9"/>
  <c r="BF31" i="9"/>
  <c r="BF42" i="9"/>
  <c r="BF36" i="9"/>
  <c r="BF32" i="9"/>
  <c r="BF44" i="9"/>
  <c r="BF45" i="9"/>
  <c r="BF17" i="9"/>
  <c r="BF29" i="9"/>
  <c r="BF26" i="9"/>
  <c r="BF23" i="9"/>
  <c r="BF28" i="9"/>
  <c r="BF25" i="9"/>
  <c r="BF30" i="9"/>
  <c r="BF24" i="9"/>
  <c r="BF27" i="9"/>
  <c r="BF13" i="9"/>
  <c r="BF16" i="9"/>
  <c r="BF46" i="9"/>
  <c r="BF47" i="9"/>
  <c r="BF52" i="9"/>
  <c r="BF49" i="9"/>
  <c r="BF50" i="9"/>
  <c r="BF51" i="9"/>
  <c r="BF15" i="9"/>
  <c r="BF11" i="9"/>
  <c r="BF14" i="9"/>
  <c r="BF9" i="9"/>
  <c r="BF12" i="9"/>
  <c r="BF10" i="9"/>
  <c r="BG8" i="9"/>
  <c r="BG39" i="9" l="1"/>
  <c r="BG41" i="9"/>
  <c r="BG40" i="9"/>
  <c r="BG38" i="9"/>
  <c r="BG37" i="9"/>
  <c r="BG35" i="9"/>
  <c r="BG34" i="9"/>
  <c r="BG33" i="9"/>
  <c r="BG42" i="9"/>
  <c r="BG36" i="9"/>
  <c r="BG32" i="9"/>
  <c r="BG45" i="9"/>
  <c r="BG31" i="9"/>
  <c r="BG17" i="9"/>
  <c r="BG26" i="9"/>
  <c r="BG23" i="9"/>
  <c r="BG28" i="9"/>
  <c r="BG25" i="9"/>
  <c r="BG30" i="9"/>
  <c r="BG27" i="9"/>
  <c r="BG29" i="9"/>
  <c r="BG24" i="9"/>
  <c r="BG13" i="9"/>
  <c r="BG16" i="9"/>
  <c r="BG47" i="9"/>
  <c r="BG46" i="9"/>
  <c r="BG49" i="9"/>
  <c r="BG50" i="9"/>
  <c r="BG51" i="9"/>
  <c r="BG52" i="9"/>
  <c r="BG15" i="9"/>
  <c r="BG14" i="9"/>
  <c r="BG11" i="9"/>
  <c r="BG9" i="9"/>
  <c r="BG12" i="9"/>
  <c r="BH8" i="9"/>
  <c r="BH39" i="9" l="1"/>
  <c r="BH41" i="9"/>
  <c r="BH40" i="9"/>
  <c r="BH38" i="9"/>
  <c r="BH37" i="9"/>
  <c r="BH35" i="9"/>
  <c r="BH34" i="9"/>
  <c r="BH33" i="9"/>
  <c r="BH42" i="9"/>
  <c r="BH36" i="9"/>
  <c r="BH32" i="9"/>
  <c r="BH45" i="9"/>
  <c r="BH31" i="9"/>
  <c r="BH17" i="9"/>
  <c r="BH23" i="9"/>
  <c r="BH28" i="9"/>
  <c r="BH25" i="9"/>
  <c r="BH30" i="9"/>
  <c r="BH27" i="9"/>
  <c r="BH24" i="9"/>
  <c r="BH26" i="9"/>
  <c r="BH29" i="9"/>
  <c r="BH13" i="9"/>
  <c r="BH16" i="9"/>
  <c r="BH47" i="9"/>
  <c r="BH46" i="9"/>
  <c r="BH50" i="9"/>
  <c r="BH51" i="9"/>
  <c r="BH52" i="9"/>
  <c r="BH49" i="9"/>
  <c r="BH15" i="9"/>
  <c r="BH14" i="9"/>
  <c r="BH9" i="9"/>
  <c r="BH12" i="9"/>
  <c r="BI8" i="9"/>
  <c r="BH11" i="9"/>
  <c r="BI39" i="9" l="1"/>
  <c r="BI41" i="9"/>
  <c r="BI40" i="9"/>
  <c r="BI38" i="9"/>
  <c r="BI37" i="9"/>
  <c r="BI35" i="9"/>
  <c r="BI34" i="9"/>
  <c r="BI33" i="9"/>
  <c r="BI31" i="9"/>
  <c r="BI42" i="9"/>
  <c r="BI36" i="9"/>
  <c r="BI32" i="9"/>
  <c r="BI44" i="9"/>
  <c r="BI45" i="9"/>
  <c r="BI17" i="9"/>
  <c r="BI28" i="9"/>
  <c r="BI25" i="9"/>
  <c r="BI30" i="9"/>
  <c r="BI27" i="9"/>
  <c r="BI24" i="9"/>
  <c r="BI29" i="9"/>
  <c r="BI23" i="9"/>
  <c r="BI26" i="9"/>
  <c r="BI13" i="9"/>
  <c r="BI16" i="9"/>
  <c r="BI47" i="9"/>
  <c r="BI46" i="9"/>
  <c r="BI51" i="9"/>
  <c r="BI52" i="9"/>
  <c r="BI49" i="9"/>
  <c r="BI50" i="9"/>
  <c r="BI15" i="9"/>
  <c r="BI9" i="9"/>
  <c r="BI12" i="9"/>
  <c r="BJ8" i="9"/>
  <c r="BI10" i="9"/>
  <c r="BI14" i="9"/>
  <c r="BI11" i="9"/>
  <c r="BJ39" i="9" l="1"/>
  <c r="BJ40" i="9"/>
  <c r="BJ41" i="9"/>
  <c r="BJ38" i="9"/>
  <c r="BJ37" i="9"/>
  <c r="BJ35" i="9"/>
  <c r="BJ34" i="9"/>
  <c r="BJ33" i="9"/>
  <c r="BJ31" i="9"/>
  <c r="BJ36" i="9"/>
  <c r="BJ32" i="9"/>
  <c r="BJ42" i="9"/>
  <c r="BJ45" i="9"/>
  <c r="BJ44" i="9"/>
  <c r="BJ17" i="9"/>
  <c r="BJ25" i="9"/>
  <c r="BJ30" i="9"/>
  <c r="BJ27" i="9"/>
  <c r="BJ24" i="9"/>
  <c r="BJ29" i="9"/>
  <c r="BJ26" i="9"/>
  <c r="BJ28" i="9"/>
  <c r="BJ23" i="9"/>
  <c r="BJ13" i="9"/>
  <c r="BJ16" i="9"/>
  <c r="BJ46" i="9"/>
  <c r="BJ47" i="9"/>
  <c r="BJ51" i="9"/>
  <c r="BJ52" i="9"/>
  <c r="BJ49" i="9"/>
  <c r="BJ50" i="9"/>
  <c r="BJ15" i="9"/>
  <c r="BJ9" i="9"/>
  <c r="BK8" i="9"/>
  <c r="BJ12" i="9"/>
  <c r="BJ10" i="9"/>
  <c r="BJ14" i="9"/>
  <c r="BJ11" i="9"/>
  <c r="BK39" i="9" l="1"/>
  <c r="BK41" i="9"/>
  <c r="BK40" i="9"/>
  <c r="BK38" i="9"/>
  <c r="BK37" i="9"/>
  <c r="BK35" i="9"/>
  <c r="BK34" i="9"/>
  <c r="BK33" i="9"/>
  <c r="BK31" i="9"/>
  <c r="BK42" i="9"/>
  <c r="BK36" i="9"/>
  <c r="BK32" i="9"/>
  <c r="BK45" i="9"/>
  <c r="BK44" i="9"/>
  <c r="BK17" i="9"/>
  <c r="BK30" i="9"/>
  <c r="BK27" i="9"/>
  <c r="BK24" i="9"/>
  <c r="BK29" i="9"/>
  <c r="BK26" i="9"/>
  <c r="BK23" i="9"/>
  <c r="BK25" i="9"/>
  <c r="BK28" i="9"/>
  <c r="BK13" i="9"/>
  <c r="BK16" i="9"/>
  <c r="BK47" i="9"/>
  <c r="BK46" i="9"/>
  <c r="BK51" i="9"/>
  <c r="BK52" i="9"/>
  <c r="BK49" i="9"/>
  <c r="BK50" i="9"/>
  <c r="BK15" i="9"/>
  <c r="BK12" i="9"/>
  <c r="BL8" i="9"/>
  <c r="BK9" i="9"/>
  <c r="BK10" i="9"/>
  <c r="BK11" i="9"/>
  <c r="BK7" i="9"/>
  <c r="BK6" i="9"/>
  <c r="BK14" i="9"/>
  <c r="BL39" i="9" l="1"/>
  <c r="BL40" i="9"/>
  <c r="BL41" i="9"/>
  <c r="BL37" i="9"/>
  <c r="BL38" i="9"/>
  <c r="BL34" i="9"/>
  <c r="BL33" i="9"/>
  <c r="BL35" i="9"/>
  <c r="BL31" i="9"/>
  <c r="BL36" i="9"/>
  <c r="BL42" i="9"/>
  <c r="BL32" i="9"/>
  <c r="BL44" i="9"/>
  <c r="BL45" i="9"/>
  <c r="BL17" i="9"/>
  <c r="BL27" i="9"/>
  <c r="BL24" i="9"/>
  <c r="BL29" i="9"/>
  <c r="BL26" i="9"/>
  <c r="BL23" i="9"/>
  <c r="BL28" i="9"/>
  <c r="BL30" i="9"/>
  <c r="BL25" i="9"/>
  <c r="BL13" i="9"/>
  <c r="BL16" i="9"/>
  <c r="BL46" i="9"/>
  <c r="BL47" i="9"/>
  <c r="BL51" i="9"/>
  <c r="BL52" i="9"/>
  <c r="BL49" i="9"/>
  <c r="BL50" i="9"/>
  <c r="BL15" i="9"/>
  <c r="BL10" i="9"/>
  <c r="BL11" i="9"/>
  <c r="BM8" i="9"/>
  <c r="BL9" i="9"/>
  <c r="BL14" i="9"/>
  <c r="BL12" i="9"/>
  <c r="BM39" i="9" l="1"/>
  <c r="BM40" i="9"/>
  <c r="BM41" i="9"/>
  <c r="BM38" i="9"/>
  <c r="BM37" i="9"/>
  <c r="BM33" i="9"/>
  <c r="BM35" i="9"/>
  <c r="BM34" i="9"/>
  <c r="BM31" i="9"/>
  <c r="BM42" i="9"/>
  <c r="BM36" i="9"/>
  <c r="BM32" i="9"/>
  <c r="BM45" i="9"/>
  <c r="BM44" i="9"/>
  <c r="BM17" i="9"/>
  <c r="BM24" i="9"/>
  <c r="BM29" i="9"/>
  <c r="BM26" i="9"/>
  <c r="BM23" i="9"/>
  <c r="BM28" i="9"/>
  <c r="BM25" i="9"/>
  <c r="BM27" i="9"/>
  <c r="BM30" i="9"/>
  <c r="BM13" i="9"/>
  <c r="BM16" i="9"/>
  <c r="BM46" i="9"/>
  <c r="BM47" i="9"/>
  <c r="BM51" i="9"/>
  <c r="BM52" i="9"/>
  <c r="BM50" i="9"/>
  <c r="BM49" i="9"/>
  <c r="BM15" i="9"/>
  <c r="BM10" i="9"/>
  <c r="BM11" i="9"/>
  <c r="BM14" i="9"/>
  <c r="BM12" i="9"/>
  <c r="BN8" i="9"/>
  <c r="BM9" i="9"/>
  <c r="BN39" i="9" l="1"/>
  <c r="BN41" i="9"/>
  <c r="BN40" i="9"/>
  <c r="BN38" i="9"/>
  <c r="BN37" i="9"/>
  <c r="BN35" i="9"/>
  <c r="BN34" i="9"/>
  <c r="BN33" i="9"/>
  <c r="BN31" i="9"/>
  <c r="BN42" i="9"/>
  <c r="BN36" i="9"/>
  <c r="BN32" i="9"/>
  <c r="BN45" i="9"/>
  <c r="BN44" i="9"/>
  <c r="BN17" i="9"/>
  <c r="BN29" i="9"/>
  <c r="BN26" i="9"/>
  <c r="BN23" i="9"/>
  <c r="BN28" i="9"/>
  <c r="BN25" i="9"/>
  <c r="BN30" i="9"/>
  <c r="BN24" i="9"/>
  <c r="BN27" i="9"/>
  <c r="BN13" i="9"/>
  <c r="BN16" i="9"/>
  <c r="BN46" i="9"/>
  <c r="BN47" i="9"/>
  <c r="BN52" i="9"/>
  <c r="BN51" i="9"/>
  <c r="BN50" i="9"/>
  <c r="BN49" i="9"/>
  <c r="BN15" i="9"/>
  <c r="BN11" i="9"/>
  <c r="BN10" i="9"/>
  <c r="BN14" i="9"/>
  <c r="BN9" i="9"/>
  <c r="BN12" i="9"/>
  <c r="BO8" i="9"/>
  <c r="BO39" i="9" l="1"/>
  <c r="BO41" i="9"/>
  <c r="BO40" i="9"/>
  <c r="BO38" i="9"/>
  <c r="BO37" i="9"/>
  <c r="BO35" i="9"/>
  <c r="BO34" i="9"/>
  <c r="BO33" i="9"/>
  <c r="BO42" i="9"/>
  <c r="BO36" i="9"/>
  <c r="BO32" i="9"/>
  <c r="BO45" i="9"/>
  <c r="BO31" i="9"/>
  <c r="BO17" i="9"/>
  <c r="BO26" i="9"/>
  <c r="BO23" i="9"/>
  <c r="BO28" i="9"/>
  <c r="BO25" i="9"/>
  <c r="BO30" i="9"/>
  <c r="BO27" i="9"/>
  <c r="BO29" i="9"/>
  <c r="BO24" i="9"/>
  <c r="BO13" i="9"/>
  <c r="BO16" i="9"/>
  <c r="BO47" i="9"/>
  <c r="BO46" i="9"/>
  <c r="BO49" i="9"/>
  <c r="BO52" i="9"/>
  <c r="BO51" i="9"/>
  <c r="BO50" i="9"/>
  <c r="BO15" i="9"/>
  <c r="BO11" i="9"/>
  <c r="BO14" i="9"/>
  <c r="BO9" i="9"/>
  <c r="BO12" i="9"/>
  <c r="BP8" i="9"/>
  <c r="BP39" i="9" l="1"/>
  <c r="BP41" i="9"/>
  <c r="BP40" i="9"/>
  <c r="BP38" i="9"/>
  <c r="BP37" i="9"/>
  <c r="BP35" i="9"/>
  <c r="BP34" i="9"/>
  <c r="BP33" i="9"/>
  <c r="BP42" i="9"/>
  <c r="BP32" i="9"/>
  <c r="BP36" i="9"/>
  <c r="BP45" i="9"/>
  <c r="BP31" i="9"/>
  <c r="BP17" i="9"/>
  <c r="BP23" i="9"/>
  <c r="BP28" i="9"/>
  <c r="BP25" i="9"/>
  <c r="BP30" i="9"/>
  <c r="BP27" i="9"/>
  <c r="BP24" i="9"/>
  <c r="BP26" i="9"/>
  <c r="BP29" i="9"/>
  <c r="BP13" i="9"/>
  <c r="BP16" i="9"/>
  <c r="BP47" i="9"/>
  <c r="BP46" i="9"/>
  <c r="BP50" i="9"/>
  <c r="BP51" i="9"/>
  <c r="BP49" i="9"/>
  <c r="BP52" i="9"/>
  <c r="BP15" i="9"/>
  <c r="BP14" i="9"/>
  <c r="BP9" i="9"/>
  <c r="BP12" i="9"/>
  <c r="BQ8" i="9"/>
  <c r="BP11" i="9"/>
  <c r="BQ39" i="9" l="1"/>
  <c r="BQ41" i="9"/>
  <c r="BQ40" i="9"/>
  <c r="BQ38" i="9"/>
  <c r="BQ37" i="9"/>
  <c r="BQ35" i="9"/>
  <c r="BQ34" i="9"/>
  <c r="BQ33" i="9"/>
  <c r="BQ31" i="9"/>
  <c r="BQ42" i="9"/>
  <c r="BQ36" i="9"/>
  <c r="BQ32" i="9"/>
  <c r="BQ45" i="9"/>
  <c r="BQ44" i="9"/>
  <c r="BQ17" i="9"/>
  <c r="BQ28" i="9"/>
  <c r="BQ25" i="9"/>
  <c r="BQ30" i="9"/>
  <c r="BQ27" i="9"/>
  <c r="BQ24" i="9"/>
  <c r="BQ29" i="9"/>
  <c r="BQ23" i="9"/>
  <c r="BQ26" i="9"/>
  <c r="BQ13" i="9"/>
  <c r="BQ16" i="9"/>
  <c r="BQ47" i="9"/>
  <c r="BQ46" i="9"/>
  <c r="BQ51" i="9"/>
  <c r="BQ52" i="9"/>
  <c r="BQ49" i="9"/>
  <c r="BQ50" i="9"/>
  <c r="BQ15" i="9"/>
  <c r="BQ9" i="9"/>
  <c r="BQ14" i="9"/>
  <c r="BQ12" i="9"/>
  <c r="BR8" i="9"/>
  <c r="BQ10" i="9"/>
  <c r="BQ11" i="9"/>
  <c r="BR39" i="9" l="1"/>
  <c r="BR40" i="9"/>
  <c r="BR41" i="9"/>
  <c r="BR38" i="9"/>
  <c r="BR37" i="9"/>
  <c r="BR35" i="9"/>
  <c r="BR34" i="9"/>
  <c r="BR33" i="9"/>
  <c r="BR31" i="9"/>
  <c r="BR42" i="9"/>
  <c r="BR36" i="9"/>
  <c r="BR32" i="9"/>
  <c r="BR45" i="9"/>
  <c r="BR44" i="9"/>
  <c r="BR17" i="9"/>
  <c r="BR25" i="9"/>
  <c r="BR30" i="9"/>
  <c r="BR27" i="9"/>
  <c r="BR24" i="9"/>
  <c r="BR29" i="9"/>
  <c r="BR26" i="9"/>
  <c r="BR28" i="9"/>
  <c r="BR23" i="9"/>
  <c r="BR13" i="9"/>
  <c r="BR16" i="9"/>
  <c r="BR46" i="9"/>
  <c r="BR47" i="9"/>
  <c r="BR51" i="9"/>
  <c r="BR52" i="9"/>
  <c r="BR49" i="9"/>
  <c r="BR50" i="9"/>
  <c r="BR15" i="9"/>
  <c r="BR14" i="9"/>
  <c r="BR9" i="9"/>
  <c r="BR12" i="9"/>
  <c r="BS8" i="9"/>
  <c r="BR7" i="9"/>
  <c r="BR6" i="9"/>
  <c r="BR11" i="9"/>
  <c r="BR10" i="9"/>
  <c r="BS39" i="9" l="1"/>
  <c r="BS41" i="9"/>
  <c r="BS40" i="9"/>
  <c r="BS38" i="9"/>
  <c r="BS37" i="9"/>
  <c r="BS35" i="9"/>
  <c r="BS34" i="9"/>
  <c r="BS33" i="9"/>
  <c r="BS31" i="9"/>
  <c r="BS42" i="9"/>
  <c r="BS36" i="9"/>
  <c r="BS32" i="9"/>
  <c r="BS45" i="9"/>
  <c r="BS44" i="9"/>
  <c r="BS17" i="9"/>
  <c r="BS30" i="9"/>
  <c r="BS27" i="9"/>
  <c r="BS24" i="9"/>
  <c r="BS29" i="9"/>
  <c r="BS26" i="9"/>
  <c r="BS23" i="9"/>
  <c r="BS25" i="9"/>
  <c r="BS28" i="9"/>
  <c r="BS13" i="9"/>
  <c r="BS16" i="9"/>
  <c r="BS46" i="9"/>
  <c r="BS47" i="9"/>
  <c r="BS51" i="9"/>
  <c r="BS52" i="9"/>
  <c r="BS49" i="9"/>
  <c r="BS50" i="9"/>
  <c r="BS15" i="9"/>
  <c r="BS12" i="9"/>
  <c r="BT8" i="9"/>
  <c r="BS11" i="9"/>
  <c r="BS10" i="9"/>
  <c r="BS9" i="9"/>
  <c r="BS14" i="9"/>
  <c r="BT39" i="9" l="1"/>
  <c r="BT40" i="9"/>
  <c r="BT41" i="9"/>
  <c r="BT37" i="9"/>
  <c r="BT38" i="9"/>
  <c r="BT34" i="9"/>
  <c r="BT35" i="9"/>
  <c r="BT33" i="9"/>
  <c r="BT31" i="9"/>
  <c r="BT32" i="9"/>
  <c r="BT42" i="9"/>
  <c r="BT36" i="9"/>
  <c r="BT44" i="9"/>
  <c r="BT45" i="9"/>
  <c r="BT17" i="9"/>
  <c r="BT27" i="9"/>
  <c r="BT24" i="9"/>
  <c r="BT29" i="9"/>
  <c r="BT26" i="9"/>
  <c r="BT23" i="9"/>
  <c r="BT28" i="9"/>
  <c r="BT30" i="9"/>
  <c r="BT25" i="9"/>
  <c r="BT13" i="9"/>
  <c r="BT16" i="9"/>
  <c r="BT46" i="9"/>
  <c r="BT47" i="9"/>
  <c r="BT51" i="9"/>
  <c r="BT52" i="9"/>
  <c r="BT49" i="9"/>
  <c r="BT50" i="9"/>
  <c r="BT15" i="9"/>
  <c r="BU8" i="9"/>
  <c r="BT12" i="9"/>
  <c r="BT11" i="9"/>
  <c r="BT10" i="9"/>
  <c r="BT14" i="9"/>
  <c r="BT9" i="9"/>
  <c r="BU39" i="9" l="1"/>
  <c r="BU40" i="9"/>
  <c r="BU41" i="9"/>
  <c r="BU37" i="9"/>
  <c r="BU38" i="9"/>
  <c r="BU33" i="9"/>
  <c r="BU35" i="9"/>
  <c r="BU34" i="9"/>
  <c r="BU42" i="9"/>
  <c r="BU36" i="9"/>
  <c r="BU32" i="9"/>
  <c r="BU45" i="9"/>
  <c r="BU31" i="9"/>
  <c r="BU17" i="9"/>
  <c r="BU24" i="9"/>
  <c r="BU29" i="9"/>
  <c r="BU26" i="9"/>
  <c r="BU23" i="9"/>
  <c r="BU28" i="9"/>
  <c r="BU25" i="9"/>
  <c r="BU27" i="9"/>
  <c r="BU30" i="9"/>
  <c r="BU13" i="9"/>
  <c r="BU16" i="9"/>
  <c r="BU46" i="9"/>
  <c r="BU47" i="9"/>
  <c r="BU51" i="9"/>
  <c r="BU52" i="9"/>
  <c r="BU50" i="9"/>
  <c r="BU49" i="9"/>
  <c r="BU15" i="9"/>
  <c r="BU11" i="9"/>
  <c r="BU14" i="9"/>
  <c r="BV8" i="9"/>
  <c r="BU9" i="9"/>
  <c r="BU12" i="9"/>
  <c r="BV39" i="9" l="1"/>
  <c r="BV41" i="9"/>
  <c r="BV40" i="9"/>
  <c r="BV38" i="9"/>
  <c r="BV37" i="9"/>
  <c r="BV35" i="9"/>
  <c r="BV34" i="9"/>
  <c r="BV33" i="9"/>
  <c r="BV42" i="9"/>
  <c r="BV36" i="9"/>
  <c r="BV32" i="9"/>
  <c r="BV45" i="9"/>
  <c r="BV31" i="9"/>
  <c r="BV17" i="9"/>
  <c r="BV29" i="9"/>
  <c r="BV26" i="9"/>
  <c r="BV23" i="9"/>
  <c r="BV28" i="9"/>
  <c r="BV25" i="9"/>
  <c r="BV30" i="9"/>
  <c r="BV24" i="9"/>
  <c r="BV27" i="9"/>
  <c r="BV13" i="9"/>
  <c r="BV16" i="9"/>
  <c r="BV46" i="9"/>
  <c r="BV47" i="9"/>
  <c r="BV52" i="9"/>
  <c r="BV51" i="9"/>
  <c r="BV49" i="9"/>
  <c r="BV50" i="9"/>
  <c r="BV15" i="9"/>
  <c r="BV11" i="9"/>
  <c r="BV14" i="9"/>
  <c r="BV9" i="9"/>
  <c r="BV12" i="9"/>
  <c r="BW8" i="9"/>
  <c r="BW39" i="9" l="1"/>
  <c r="BW41" i="9"/>
  <c r="BW40" i="9"/>
  <c r="BW38" i="9"/>
  <c r="BW37" i="9"/>
  <c r="BW35" i="9"/>
  <c r="BW34" i="9"/>
  <c r="BW33" i="9"/>
  <c r="BW31" i="9"/>
  <c r="BW42" i="9"/>
  <c r="BW36" i="9"/>
  <c r="BW32" i="9"/>
  <c r="BW44" i="9"/>
  <c r="BW45" i="9"/>
  <c r="BW17" i="9"/>
  <c r="BW26" i="9"/>
  <c r="BW23" i="9"/>
  <c r="BW28" i="9"/>
  <c r="BW25" i="9"/>
  <c r="BW30" i="9"/>
  <c r="BW27" i="9"/>
  <c r="BW29" i="9"/>
  <c r="BW24" i="9"/>
  <c r="BW13" i="9"/>
  <c r="BW16" i="9"/>
  <c r="BW47" i="9"/>
  <c r="BW46" i="9"/>
  <c r="BW49" i="9"/>
  <c r="BW51" i="9"/>
  <c r="BW52" i="9"/>
  <c r="BW50" i="9"/>
  <c r="BW15" i="9"/>
  <c r="BW14" i="9"/>
  <c r="BW10" i="9"/>
  <c r="BW9" i="9"/>
  <c r="BW12" i="9"/>
  <c r="BX8" i="9"/>
  <c r="BW11" i="9"/>
  <c r="BX39" i="9" l="1"/>
  <c r="BX41" i="9"/>
  <c r="BX40" i="9"/>
  <c r="BX38" i="9"/>
  <c r="BX37" i="9"/>
  <c r="BX35" i="9"/>
  <c r="BX34" i="9"/>
  <c r="BX33" i="9"/>
  <c r="BX31" i="9"/>
  <c r="BX42" i="9"/>
  <c r="BX36" i="9"/>
  <c r="BX32" i="9"/>
  <c r="BX44" i="9"/>
  <c r="BX45" i="9"/>
  <c r="BX17" i="9"/>
  <c r="BX23" i="9"/>
  <c r="BX28" i="9"/>
  <c r="BX25" i="9"/>
  <c r="BX30" i="9"/>
  <c r="BX27" i="9"/>
  <c r="BX24" i="9"/>
  <c r="BX26" i="9"/>
  <c r="BX29" i="9"/>
  <c r="BX13" i="9"/>
  <c r="BX16" i="9"/>
  <c r="BX47" i="9"/>
  <c r="BX46" i="9"/>
  <c r="BX50" i="9"/>
  <c r="BX51" i="9"/>
  <c r="BX52" i="9"/>
  <c r="BX49" i="9"/>
  <c r="BX15" i="9"/>
  <c r="BX14" i="9"/>
  <c r="BX10" i="9"/>
  <c r="BX9" i="9"/>
  <c r="BX12" i="9"/>
  <c r="BX11" i="9"/>
  <c r="A18" i="9"/>
  <c r="A19" i="9" s="1"/>
  <c r="A20" i="9" s="1"/>
  <c r="A21" i="9" s="1"/>
  <c r="A22" i="9" s="1"/>
  <c r="A23" i="9" s="1"/>
  <c r="A24" i="9" s="1"/>
  <c r="A25" i="9" s="1"/>
  <c r="A26" i="9" s="1"/>
  <c r="A27" i="9" s="1"/>
  <c r="A28" i="9" s="1"/>
  <c r="A29" i="9" s="1"/>
  <c r="A30" i="9" s="1"/>
  <c r="A31" i="9" l="1"/>
  <c r="A32" i="9" l="1"/>
  <c r="A33" i="9" l="1"/>
  <c r="A34" i="9" s="1"/>
  <c r="A35" i="9" s="1"/>
  <c r="A36" i="9" s="1"/>
  <c r="A37" i="9" l="1"/>
  <c r="A38" i="9" s="1"/>
  <c r="A39" i="9" l="1"/>
  <c r="A40" i="9" l="1"/>
  <c r="A41" i="9" s="1"/>
  <c r="A42" i="9" s="1"/>
  <c r="A43" i="9" s="1"/>
  <c r="A44" i="9" s="1"/>
  <c r="A45" i="9" s="1"/>
  <c r="A46" i="9" s="1"/>
  <c r="A47" i="9" s="1"/>
  <c r="A48" i="9" s="1"/>
  <c r="A49" i="9" s="1"/>
  <c r="A50" i="9" s="1"/>
  <c r="A51" i="9" s="1"/>
  <c r="A5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Future</author>
  </authors>
  <commentList>
    <comment ref="Q12" authorId="0" shapeId="0" xr:uid="{70EC8B5D-A47D-498B-9162-46F38E6B6384}">
      <text>
        <r>
          <rPr>
            <b/>
            <sz val="9"/>
            <color indexed="81"/>
            <rFont val="宋体"/>
            <family val="3"/>
            <charset val="134"/>
          </rPr>
          <t>Mark Future:</t>
        </r>
        <r>
          <rPr>
            <sz val="9"/>
            <color indexed="81"/>
            <rFont val="宋体"/>
            <family val="3"/>
            <charset val="134"/>
          </rPr>
          <t xml:space="preserve">
错误，后台修改</t>
        </r>
      </text>
    </comment>
  </commentList>
</comments>
</file>

<file path=xl/sharedStrings.xml><?xml version="1.0" encoding="utf-8"?>
<sst xmlns="http://schemas.openxmlformats.org/spreadsheetml/2006/main" count="771" uniqueCount="285">
  <si>
    <t>交付</t>
  </si>
  <si>
    <t>会议安排</t>
  </si>
  <si>
    <t>当前日期</t>
  </si>
  <si>
    <t>法定节假日</t>
  </si>
  <si>
    <t>进度</t>
  </si>
  <si>
    <t>备注</t>
  </si>
  <si>
    <t>-</t>
  </si>
  <si>
    <t>Col E-F: Enter start and end date of a task. The gantt chart will update accordingly</t>
  </si>
  <si>
    <t>Col G: If task has a milestone date or meeting date, enter here and a diamond will appear</t>
  </si>
  <si>
    <t>Col H: input a % to indicate % completion fro the task. The Gant chart will update</t>
  </si>
  <si>
    <t>Cell G6 (Display Week): The gantt chart only displays 12 weeks. You can either add columns to extend it (becareful of conditional formatting issues if you copy - ask Wen). Or enter a different display week in G6</t>
  </si>
  <si>
    <t>Row 4 Arrow bar: to move further on the timeline you can also CLICK AND STAY (NOT Click and Hold) on either the left or right arrow to move the gantt chart forward or backward</t>
  </si>
  <si>
    <t>2018 and 2019 holidays have been included. Make sure you update if you're using this in 2020</t>
  </si>
  <si>
    <t>TO ADD TASKS: copy an EXISTING row and insert copied row. DO NOT INSERT AN EMPTY ROW. Choose the appropriate task level (e.g., 1.1 vs 1.1.1 vs 1.1.1 depending on how deep the subtasks are)</t>
  </si>
  <si>
    <t>COL A (Step): updates automatically</t>
  </si>
  <si>
    <t>The grey rows in columns E &amp; F updates automatically. If you add additional grey rows make sure you copy the formulas along</t>
  </si>
  <si>
    <t>There are formulas in column K onwards. DO NOT DELETE</t>
  </si>
  <si>
    <t>ROWS 40-43: Keep them unused so that you can use them to copy formulas</t>
  </si>
  <si>
    <t>INPUTS</t>
  </si>
  <si>
    <t>Enter project start date here</t>
  </si>
  <si>
    <t>Roles</t>
  </si>
  <si>
    <t>2022-23</t>
  </si>
  <si>
    <t>The first day of January</t>
  </si>
  <si>
    <t>Friday</t>
  </si>
  <si>
    <t>Saturday</t>
  </si>
  <si>
    <t>Terms of Use</t>
  </si>
  <si>
    <t>Gantt Chart Template, by Vertex42.com</t>
  </si>
  <si>
    <t>https://www.vertex42.com/ExcelTemplates/excel-gantt-chart.html</t>
  </si>
  <si>
    <t>© 2006-2018 Vertex42 LLC</t>
  </si>
  <si>
    <t>This spreadsheet template, including all worksheets and associated content is a copyrighted work under the United States and other copyright laws.</t>
  </si>
  <si>
    <r>
      <rPr>
        <sz val="12"/>
        <rFont val="Arial"/>
        <family val="2"/>
      </rP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</si>
  <si>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</si>
  <si>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</si>
  <si>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</si>
  <si>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</si>
  <si>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https://www.vertex42.com/licensing/EULA_privateuse.html</t>
  </si>
  <si>
    <t>12号线隆昌路车站</t>
    <phoneticPr fontId="15" type="noConversion"/>
  </si>
  <si>
    <t>15号线“梅岭北路站～大渡河路站”区间</t>
    <phoneticPr fontId="15" type="noConversion"/>
  </si>
  <si>
    <t>20号线大宁公园站站至平利路站站区间</t>
    <phoneticPr fontId="15" type="noConversion"/>
  </si>
  <si>
    <t>15号线武威东路站车站或武威东路站站至古浪路站站区间</t>
    <phoneticPr fontId="15" type="noConversion"/>
  </si>
  <si>
    <t>轨道交通信息</t>
    <phoneticPr fontId="15" type="noConversion"/>
  </si>
  <si>
    <t>退回</t>
  </si>
  <si>
    <t>管道上穿地铁12号线“隆昌路站”，具有打穿风险，不属于低风险类。原则上管底距离车站结构（注意上翻梁）顶标高不小于0.5m。</t>
  </si>
  <si>
    <t>销项</t>
  </si>
  <si>
    <t>目前距离大宁公园站土体结构52m，请复核一下是否在大宁公园站北侧出入口的保护区范围内，如果不在，那就不用报了，销项就行。</t>
  </si>
  <si>
    <t>桃浦西路(古浪路-真北路)燃气管道改造距离武威东路站地铁车站2B出入口天桥桥墩距离为1.2m，不属于低风险类项目。</t>
  </si>
  <si>
    <t>xxx</t>
    <phoneticPr fontId="15" type="noConversion"/>
  </si>
  <si>
    <t>13号线“东明路车站～华鹏路站”区间（含东明路车站）、6号线“东明路车站～高科西路站”区间（含东明路车站）</t>
    <phoneticPr fontId="15" type="noConversion"/>
  </si>
  <si>
    <t>-</t>
    <phoneticPr fontId="15" type="noConversion"/>
  </si>
  <si>
    <t>前期沟通</t>
    <phoneticPr fontId="15" type="noConversion"/>
  </si>
  <si>
    <t>序号</t>
    <phoneticPr fontId="15" type="noConversion"/>
  </si>
  <si>
    <t>关键日</t>
    <phoneticPr fontId="15" type="noConversion"/>
  </si>
  <si>
    <t>完成
时间</t>
    <phoneticPr fontId="15" type="noConversion"/>
  </si>
  <si>
    <t>其他</t>
    <phoneticPr fontId="15" type="noConversion"/>
  </si>
  <si>
    <t>问题及建议</t>
    <phoneticPr fontId="15" type="noConversion"/>
  </si>
  <si>
    <t>1号线“共康路站-彭浦新村站”区间</t>
    <phoneticPr fontId="15" type="noConversion"/>
  </si>
  <si>
    <t>8号线“虹口足球场站-西藏北路站”区间（含虹口足球场站）</t>
    <phoneticPr fontId="15" type="noConversion"/>
  </si>
  <si>
    <t>申报线路类型</t>
  </si>
  <si>
    <t>状态</t>
  </si>
  <si>
    <t>监护等级</t>
  </si>
  <si>
    <t>报审项目类型</t>
  </si>
  <si>
    <t>审批状态</t>
  </si>
  <si>
    <t>申报类型</t>
  </si>
  <si>
    <t>申报时间</t>
  </si>
  <si>
    <t>申报工期</t>
  </si>
  <si>
    <t>建设单位</t>
  </si>
  <si>
    <t>项目地理位置</t>
  </si>
  <si>
    <t>与轨道交通关系</t>
  </si>
  <si>
    <t>项目负责人姓名</t>
  </si>
  <si>
    <t>项目负责人电话</t>
  </si>
  <si>
    <t>是否监测</t>
  </si>
  <si>
    <t>监测单位</t>
  </si>
  <si>
    <t>项目类型</t>
  </si>
  <si>
    <t>是否委托</t>
  </si>
  <si>
    <t>项目概况</t>
  </si>
  <si>
    <t>是否为低风险</t>
  </si>
  <si>
    <t>低风险类型</t>
  </si>
  <si>
    <t>平利路38弄燃气管道改造</t>
  </si>
  <si>
    <t>地铁线</t>
  </si>
  <si>
    <t>审批中</t>
  </si>
  <si>
    <t>三级</t>
  </si>
  <si>
    <t>低风险类作业</t>
  </si>
  <si>
    <t>许可类</t>
  </si>
  <si>
    <t>1.0月</t>
  </si>
  <si>
    <t>上海燃气市北销售有限公司</t>
  </si>
  <si>
    <t>普陀区东临志丹路</t>
  </si>
  <si>
    <t>地铁在建线路20号线平利路站车站</t>
  </si>
  <si>
    <t>曹玉轩</t>
  </si>
  <si>
    <t>管线</t>
  </si>
  <si>
    <t>本项目沿志丹路埋设DN110-160燃气管道，长度280米，挖深1.5米。管道与地铁20号线“平利路站”垂直，与地铁结构最小水平距离14.3米，管底距离车站顶最小竖向净距10.53米。</t>
  </si>
  <si>
    <t>5、对应地铁地下隧道——挖深不超过4m且围护与区间隧道水平或竖向净距大于5m的明挖类管线工程。</t>
  </si>
  <si>
    <t>四达路58弄1-23号燃气管道改造</t>
  </si>
  <si>
    <t>虹口区东临四平路北临四达路</t>
  </si>
  <si>
    <t>地铁运营线路10号线邮电新村站至海伦路站区间</t>
  </si>
  <si>
    <t>朋炎琰</t>
  </si>
  <si>
    <t>本项目在四达路以北，四平路以西埋设DN110-300燃气管道，长度220米，挖深1.5米。管道与地铁10号线“海伦路站-邮电新村站”区间隧道平行，与地铁结构最小水平距离0.3米，管底距离隧道顶最小竖向净距9.252米。</t>
  </si>
  <si>
    <t>武威东路1082弄燃气管道改造重新设计</t>
  </si>
  <si>
    <t>普陀区东临雪松路西临红棉路南临武威路</t>
  </si>
  <si>
    <t>地铁运营线路11号线武威路站至桃浦新村站区间</t>
  </si>
  <si>
    <t>本项目在武威路以北，雪松路以西埋设DN110-160燃气管道，长度167米，挖深1.5米，管道与地铁11号线“武威路站-桃浦新村站”区间隧道平行，与地铁结构最小水平距离1.9米；DN110-300燃气管道，长度385米，挖深1.5米，管道与地铁11号线“武威路站-桃浦新村站”区间隧道平行，与地铁结构最小水平距离0.7米，管底距离隧道顶最小竖向净距11.473米。</t>
  </si>
  <si>
    <t>新港路（四平路—大连路）燃气管道搬迁工程</t>
  </si>
  <si>
    <t>虹口区西临四平路</t>
  </si>
  <si>
    <t>地铁运营线路10号线四平路站至邮电新村站区间</t>
  </si>
  <si>
    <t>本项目在四平路以南，新港路上埋设DN300燃气管道，长度40米，挖深1.5米。管道与地铁10号线“邮电新村站-四平路站”区间隧道垂直，与地铁结构最小水平距离20.6米，管底距离隧道顶最小竖向净距11.334米。</t>
  </si>
  <si>
    <t>政立路淞沪路-国和路(自投道路改造工程)</t>
  </si>
  <si>
    <t>杨浦区东临国和路西临淞沪路</t>
  </si>
  <si>
    <t>地铁运营线路10号线江湾体育场站至三门路站区间</t>
  </si>
  <si>
    <t>本项目在淞沪路以西，政立路上埋设DN300-500燃气管道，长度130米，挖深1.7米。管道与地铁10号线“江湾体育场-三门路站”区间隧道垂直，与地铁结构最小水平距离0.8米，管底距离隧道顶最小竖向净距13.469米。</t>
  </si>
  <si>
    <t>四平路国泰路、四平路国定路燃气管道改造工程</t>
  </si>
  <si>
    <t>杨浦区南临国定路</t>
  </si>
  <si>
    <t>地铁运营线路10号线国权路站至五角场站区间</t>
  </si>
  <si>
    <t>本项目在国泰路以东，四平路上埋设DN200-300燃气管道，长度155米，挖深1.5米，管道与地铁10号线“同济大学站-国权路站”区间隧道垂直，与地铁结构最小水平距离0.7米，管底距离隧道顶最小竖向净距8.209米；在国定路以北，四平路上埋设DN300燃气管道，长度42米，挖深1.5米，管道与地铁10号线“国权路站-五角场站”区间隧道平行，管底距离隧道顶最小竖向净距11.054米。</t>
  </si>
  <si>
    <t>临平北路5弄、89弄、四平路288弄燃气管道改造</t>
  </si>
  <si>
    <t>虹口区西临四平路南临临平北路</t>
  </si>
  <si>
    <t>本项目在临平路以北，四平路以东埋设DN110-160燃气管道，长度141米，挖深1.5米，管道与地铁10号线“四平路站-邮电新村站”区间隧道垂直，与地铁结构最小水平距离0.7米，管底距离隧道顶最小竖向净距11.541米。</t>
  </si>
  <si>
    <t>四平路（庆阳路-溧阳路）燃气管道改造</t>
  </si>
  <si>
    <t>虹口区东临天水路南临赤峰路</t>
  </si>
  <si>
    <t>地铁运营线路10号线海伦路站至邮电新村站区间</t>
  </si>
  <si>
    <t>本项目在四平路和赤峰路路口埋设DN200和DN315燃气管道，长度分别为34和105米，挖深分别为2和1.5米，管道横穿地铁10号线“四平路站-同济大学站”区间隧道，管底距离隧道顶最小竖向净距为11.485米。在四平路（天水路-溧阳路）上埋设DN500、DN315和DN300燃气管道，长度分别为662、73和18米，挖深分别为1.7、1.5和1.5米，管道横穿地铁10号线“海伦路站-邮电新村站”区间隧道，管底距离隧道顶最小竖向净距为6.814米。</t>
  </si>
  <si>
    <t>骏达路北段（曹安公路-童家桥路）燃气配套工程</t>
  </si>
  <si>
    <t>嘉定区东临曹安公路</t>
  </si>
  <si>
    <t>地铁运营线路14号线曹安公路站至嘉怡路站区间</t>
  </si>
  <si>
    <t>本项目在曹安公路以西埋设DN200燃气管道，长度28.66米，挖深1.5米，管道与地铁14号线“曹安公路站-嘉怡路”区间隧道垂直，与地铁结构最小水平距离21.3米，管底距离隧道顶最小竖向净距12.862米。</t>
  </si>
  <si>
    <t>长阳路2555号内燃气调压器搬迁地铁</t>
  </si>
  <si>
    <t>大渡河路1262弄燃气管道改造</t>
  </si>
  <si>
    <t>广中西路883弄燃气管道改造工程</t>
  </si>
  <si>
    <t>桃浦西路(古浪路-真北路)燃气管道改造</t>
  </si>
  <si>
    <t>浦东新区周家渡社区Z000203单元13-08地块（勘察）</t>
  </si>
  <si>
    <t>共和新路4618弄燃气管道改造</t>
  </si>
  <si>
    <t>花园路(水电路-西江湾路)燃气管道改造</t>
  </si>
  <si>
    <t>齐鲁制药创新药物全球研发总部项目（E12-02地块）</t>
  </si>
  <si>
    <t>上海交通大学徐汇校区高金大楼项目-征询</t>
  </si>
  <si>
    <t>曲阳路58、118弄燃气管道改造</t>
    <phoneticPr fontId="15" type="noConversion"/>
  </si>
  <si>
    <t>退回修改隧道断面</t>
  </si>
  <si>
    <t>退回按非低风险报</t>
    <phoneticPr fontId="15" type="noConversion"/>
  </si>
  <si>
    <t>-</t>
    <phoneticPr fontId="15" type="noConversion"/>
  </si>
  <si>
    <t>-</t>
    <phoneticPr fontId="15" type="noConversion"/>
  </si>
  <si>
    <t>已发校审未返</t>
  </si>
  <si>
    <t>已上传</t>
  </si>
  <si>
    <t>四平路850弄燃气管道改造</t>
    <phoneticPr fontId="15" type="noConversion"/>
  </si>
  <si>
    <t>用地红线与区间隧道结构外边线最小水平净距约23.49m，T1裙房与区间隧道结构外边线最小净距约44.3m，T1主楼及T2均位于安全保护区以外。地下室结构外边线与区间隧道结构外边线最小净距约58.4m。</t>
    <phoneticPr fontId="15" type="noConversion"/>
  </si>
  <si>
    <t>-</t>
    <phoneticPr fontId="15" type="noConversion"/>
  </si>
  <si>
    <t>监护大
纲状态</t>
    <phoneticPr fontId="15" type="noConversion"/>
  </si>
  <si>
    <t>技审状态</t>
    <phoneticPr fontId="15" type="noConversion"/>
  </si>
  <si>
    <t>已通过</t>
  </si>
  <si>
    <t>需沟通</t>
  </si>
  <si>
    <t>技术审查【许可类】</t>
    <phoneticPr fontId="15" type="noConversion"/>
  </si>
  <si>
    <t>技术审查【征询类】</t>
    <phoneticPr fontId="15" type="noConversion"/>
  </si>
  <si>
    <t>丹霞路（华川路-丰登桥路）新建工程</t>
    <phoneticPr fontId="15" type="noConversion"/>
  </si>
  <si>
    <t>地铁运营线路2号线凌空路站至川沙站区间</t>
    <phoneticPr fontId="15" type="noConversion"/>
  </si>
  <si>
    <t>影响桩号范围存在问题，保护区范围内除了道路工程，还有桥梁工程及管线工程，请复核是否包含桥梁两侧的驳岸工程，补充桥梁和驳岸剖面以表达与轨道交通的关系。</t>
    <phoneticPr fontId="15" type="noConversion"/>
  </si>
  <si>
    <t>项目名称</t>
  </si>
  <si>
    <t>项目编号</t>
  </si>
  <si>
    <t>地区</t>
    <phoneticPr fontId="16" type="noConversion"/>
  </si>
  <si>
    <t>线路</t>
    <phoneticPr fontId="16" type="noConversion"/>
  </si>
  <si>
    <t>与轨道交通关系</t>
    <phoneticPr fontId="16" type="noConversion"/>
  </si>
  <si>
    <t>其他设施</t>
    <phoneticPr fontId="16" type="noConversion"/>
  </si>
  <si>
    <t>建设单位</t>
    <phoneticPr fontId="16" type="noConversion"/>
  </si>
  <si>
    <t>车站</t>
    <phoneticPr fontId="16" type="noConversion"/>
  </si>
  <si>
    <t>项目地理位置</t>
    <phoneticPr fontId="16" type="noConversion"/>
  </si>
  <si>
    <t>是</t>
  </si>
  <si>
    <t>生成文件</t>
    <phoneticPr fontId="15" type="noConversion"/>
  </si>
  <si>
    <t>申报人姓名</t>
  </si>
  <si>
    <t>申报人电话</t>
  </si>
  <si>
    <t>是否涉及规划</t>
  </si>
  <si>
    <t>是否涉及在建线路</t>
  </si>
  <si>
    <t>是否涉及申铁线路</t>
  </si>
  <si>
    <t>作业内容</t>
  </si>
  <si>
    <t>线路情况</t>
  </si>
  <si>
    <t>车站</t>
  </si>
  <si>
    <t>区间</t>
  </si>
  <si>
    <t>其他设施</t>
  </si>
  <si>
    <t>风险点</t>
  </si>
  <si>
    <t>运营安全保障等级</t>
  </si>
  <si>
    <t>复核验算</t>
  </si>
  <si>
    <t>是否编制大纲</t>
  </si>
  <si>
    <t>季正阳</t>
  </si>
  <si>
    <t>待确认</t>
  </si>
  <si>
    <t>否</t>
  </si>
  <si>
    <t>徐韵</t>
  </si>
  <si>
    <t>王健</t>
  </si>
  <si>
    <t>冯鏐轶</t>
  </si>
  <si>
    <t>圣安达公寓</t>
  </si>
  <si>
    <t>陆会忠</t>
  </si>
  <si>
    <t>上海圣安达酒店有限公司</t>
  </si>
  <si>
    <t>普陀区东临真北路西临子洲路南临铜川路北临金鼎路</t>
  </si>
  <si>
    <t>地铁运营线路14号线铜川路站至真光路站区间</t>
  </si>
  <si>
    <t>吴群英</t>
  </si>
  <si>
    <t>勘探</t>
  </si>
  <si>
    <t>本项目在铜川路1620号为新建保障性租赁住房，用地面积为7221平方米，总建筑面积为33036.98平方米，地上总建筑面积为25934平方米，地下总建筑面积为7102.98平方米，为地下一层地上15层建筑。</t>
  </si>
  <si>
    <t>2、距离地铁结构10m以外的勘察工程(不包含水勘)。</t>
  </si>
  <si>
    <t>世博水环品质提升工程（一期）D段</t>
  </si>
  <si>
    <t>谢江明</t>
  </si>
  <si>
    <t>上海市浦东新区生态环境局基建项目和资产管理事务中心</t>
  </si>
  <si>
    <t>浦东新区东临东明路西临规划云台路南临三林路北临三林塘</t>
  </si>
  <si>
    <t>地铁运营线路11号线三林站至三林东站区间</t>
  </si>
  <si>
    <t>陈鹏飞</t>
  </si>
  <si>
    <t>绿化</t>
  </si>
  <si>
    <t>项目位于上海浦东新区白莲泾、大寨河、人民江、三林塘港、小黄浦两岸。全长10.3 km，建设范围约54公顷。涉及保护区域位于东明公园范围内，北起三林塘，西至规划云台路，南靠三林路，东抵东明路，实施面积为7975.83m²</t>
  </si>
  <si>
    <t>3、荷载满足加载控制要求且无需标高复测的道路、园林绿化类工程。</t>
  </si>
  <si>
    <t>排管工程</t>
  </si>
  <si>
    <t>在建</t>
  </si>
  <si>
    <t>单圆</t>
  </si>
  <si>
    <t>低风险项目</t>
  </si>
  <si>
    <t>运营</t>
  </si>
  <si>
    <t>双圆</t>
  </si>
  <si>
    <t>是否涉及规划</t>
    <phoneticPr fontId="16" type="noConversion"/>
  </si>
  <si>
    <t>是否涉及在建线路</t>
    <phoneticPr fontId="16" type="noConversion"/>
  </si>
  <si>
    <t>是否涉及申铁线路</t>
    <phoneticPr fontId="16" type="noConversion"/>
  </si>
  <si>
    <t>技审状态</t>
    <phoneticPr fontId="15" type="noConversion"/>
  </si>
  <si>
    <t xml:space="preserve"> 本项目包含2段，其中1段涉及地铁运营线路10号线“四平路站~同济大学站”，该区间为双圆盾构，剖面需要修改；另一段涉及运营线路10号线“海伦路站（含）~邮电新村站”以及在建线路19号线“海伦路站（含）~甜爱路站”，距离在建19号线海伦路站4.3m，小于10m，属于非低风险项目。</t>
    <phoneticPr fontId="15" type="noConversion"/>
  </si>
  <si>
    <t>项目位置</t>
    <phoneticPr fontId="16" type="noConversion"/>
  </si>
  <si>
    <t>曹安公路与骏达路路口南侧</t>
    <phoneticPr fontId="16" type="noConversion"/>
  </si>
  <si>
    <t>四平路与临平北路路口东侧</t>
    <phoneticPr fontId="16" type="noConversion"/>
  </si>
  <si>
    <t>项目类型</t>
    <phoneticPr fontId="15" type="noConversion"/>
  </si>
  <si>
    <t>项目类型</t>
    <phoneticPr fontId="15" type="noConversion"/>
  </si>
  <si>
    <t>项目名称</t>
    <phoneticPr fontId="15" type="noConversion"/>
  </si>
  <si>
    <t>项目编号</t>
    <phoneticPr fontId="15" type="noConversion"/>
  </si>
  <si>
    <t>与轨道交通关系</t>
    <phoneticPr fontId="15" type="noConversion"/>
  </si>
  <si>
    <t>申报时间</t>
    <phoneticPr fontId="15" type="noConversion"/>
  </si>
  <si>
    <t>报审资料位置与标图位置不一致。</t>
    <phoneticPr fontId="15" type="noConversion"/>
  </si>
  <si>
    <t>建设单位</t>
    <phoneticPr fontId="15" type="noConversion"/>
  </si>
  <si>
    <t>其他</t>
  </si>
  <si>
    <t>旁通道</t>
  </si>
  <si>
    <t>铜川路与真北路路口西北侧</t>
    <phoneticPr fontId="15" type="noConversion"/>
  </si>
  <si>
    <t>广纪路65弄燃气管道改造</t>
  </si>
  <si>
    <t>虹口区东临广济路北临广灵二路</t>
  </si>
  <si>
    <t>地铁运营线路3号线赤峰路车站</t>
  </si>
  <si>
    <t>本项目在广纪路以西，广灵路以南埋设DN150燃气管道，长度35米，挖深1.5米，管道与地铁3号线“赤峰路站”车站高架平行，与高架墩柱最小水平距离7.6米。</t>
  </si>
  <si>
    <t>6、对应地铁高架————挖深不超过3m且距离高架承台大于3m，并采用横列板支护的明挖管线工程。</t>
  </si>
  <si>
    <t>广纪路19号燃气管道改造</t>
  </si>
  <si>
    <t>虹口区东临广纪路</t>
  </si>
  <si>
    <t>地铁运营线路3号线虹口足球场站至赤峰路站区间</t>
  </si>
  <si>
    <t>本项目在广纪路以西埋设DN100燃气管道，长度10米，挖深1.5米，管道与地铁3号线“虹口足球场-赤峰路站”区间高架垂直，与高架墩柱最小水平距离11.8米。</t>
  </si>
  <si>
    <t>广纪路171弄、中山北一路665号燃气管道改造</t>
  </si>
  <si>
    <t>地铁运营线路3号线大柏树站至赤峰路站区间</t>
  </si>
  <si>
    <t>本项目在广纪路上由北向南依次埋设DN110-150，DN200和DN110燃气管道，长度分别为45，15和8米，挖深均为1.5米，管道均与地铁3号线“赤峰路站-大柏树站”区间高架垂直，与高架墩柱最小水平距离12.7米。</t>
  </si>
  <si>
    <t>广灵二路与广纪路路口西南侧</t>
    <phoneticPr fontId="15" type="noConversion"/>
  </si>
  <si>
    <t>新市路与中山北二路路口西北侧</t>
    <phoneticPr fontId="15" type="noConversion"/>
  </si>
  <si>
    <t>地上</t>
  </si>
  <si>
    <t>高架</t>
  </si>
  <si>
    <t>区间</t>
    <phoneticPr fontId="15" type="noConversion"/>
  </si>
  <si>
    <t>车站信息补充</t>
    <phoneticPr fontId="15" type="noConversion"/>
  </si>
  <si>
    <t>大柏树站</t>
    <phoneticPr fontId="15" type="noConversion"/>
  </si>
  <si>
    <t>序号</t>
    <phoneticPr fontId="16" type="noConversion"/>
  </si>
  <si>
    <t>项目编号</t>
    <phoneticPr fontId="16" type="noConversion"/>
  </si>
  <si>
    <t>项目名称</t>
    <phoneticPr fontId="16" type="noConversion"/>
  </si>
  <si>
    <t>皋兰山路武威路上水排管项目</t>
  </si>
  <si>
    <t>上海城投水务（集团）有限公司自来水业务受理分公司</t>
  </si>
  <si>
    <t>普陀区东临真南路西临山丹路南临永登路北临常和路</t>
  </si>
  <si>
    <t>地铁运营线路11号线武威路车站或桃浦新村站至武威路站区间</t>
  </si>
  <si>
    <t>赵捷</t>
  </si>
  <si>
    <t>归陈华</t>
  </si>
  <si>
    <t>根据晋友改投【2021】65号文件，田上海市晋陀区市政工程建设甲心甲请负贡皋兰山路(武南路-常和路)道路新建，本次配合新建道路同步实施上水管线，同时为周边项目配套接水，拟排皋兰山路(武南路-常和路)DN300上水管线约800米。</t>
  </si>
  <si>
    <t>地铁运营线路11号线桃浦新村站至武威路站区间</t>
    <phoneticPr fontId="15" type="noConversion"/>
  </si>
  <si>
    <t>未涉及</t>
  </si>
  <si>
    <t>沿广纪路敷设，北至广灵四路，南至广灵二路</t>
    <phoneticPr fontId="15" type="noConversion"/>
  </si>
  <si>
    <t>等待在建线路意见</t>
    <phoneticPr fontId="15" type="noConversion"/>
  </si>
  <si>
    <t>上海市区长宁愚园路699号项目接入工程</t>
  </si>
  <si>
    <t>3.0月</t>
  </si>
  <si>
    <t>项目位于上海浦东新区白莲泾、大寨河、人民江、三林塘港、小黄浦两岸。全长10.3km，建设范围约54公顷。涉及保护区域位于东明公园范围内，北起三林塘，西至规划云台路，南靠三林路，东抵东明路，实施面积为7975.83m2</t>
  </si>
  <si>
    <t>加卸载工程</t>
  </si>
  <si>
    <t>国网上海市电力公司市区供电公司</t>
  </si>
  <si>
    <t>长宁区东临镇宁路西临愚园路749弄南临愚园路南侧北临愚园路北侧</t>
  </si>
  <si>
    <t>地铁运营线路2号线静安寺车站或江苏路站至江苏路站区间</t>
  </si>
  <si>
    <t>王哲坤</t>
  </si>
  <si>
    <t>帅建尧</t>
  </si>
  <si>
    <t>本工程位于长宁区，本次于道路南侧人行道距规划道路红线0.6米（距规划道路中心线11.4米）处直埋敷设0.4kV电力电缆 1根，并在合适位置利用现状电力排管过路接通上级电源点，长度约为80米。直埋覆土深度0.8米，管底距隧顶垂直距离为12.004米。</t>
  </si>
  <si>
    <t>东临东明路，西临规划云台路，南临三林路，北临三林塘</t>
    <phoneticPr fontId="15" type="noConversion"/>
  </si>
  <si>
    <t>镇宁路与愚园路路口西侧</t>
    <phoneticPr fontId="15" type="noConversion"/>
  </si>
  <si>
    <t>地铁运营线路2号线静安寺车站至江苏路站区间</t>
    <phoneticPr fontId="15" type="noConversion"/>
  </si>
  <si>
    <t>浦东新区张杨路城市资源回收中心项目</t>
  </si>
  <si>
    <t>非 低风险类作业</t>
  </si>
  <si>
    <t>皋兰山路与武威路路口</t>
    <phoneticPr fontId="15" type="noConversion"/>
  </si>
  <si>
    <t>申江路(陇桥路-新金桥路)信息管道工程项目</t>
  </si>
  <si>
    <t>浦东新区南临陇桥路北临新金桥路</t>
  </si>
  <si>
    <t>申江路(新金桥路-电台路)信息管道工程项目</t>
  </si>
  <si>
    <t>上海市信息管线有限公司</t>
  </si>
  <si>
    <t>地铁运营线路9号线金桥站至金吉路站区间</t>
  </si>
  <si>
    <t>靳婷</t>
  </si>
  <si>
    <t>马震</t>
  </si>
  <si>
    <t>涉及地铁9号线、管线位置在申江路西侧人行道与金海路地铁9号线交叉，开挖深度1米、采用挡土板支护。</t>
  </si>
  <si>
    <t>浦东新区南临新金桥路北临电台路</t>
  </si>
  <si>
    <t>地铁运营线路14号线浦东足球场站站至金粤路站区间</t>
  </si>
  <si>
    <t>申江路(电台路-新金桥路)为信息管道开挖工程：涉及地铁14号线、管线位置在申江路西侧人行道与锦绣路地铁14号线交叉，开挖深度1米、采用挡土板支护。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</si>
</sst>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d/yyyy\ \(dddd\)"/>
    <numFmt numFmtId="177" formatCode="d/m/yy"/>
    <numFmt numFmtId="178" formatCode="mm/dd/yy;@"/>
    <numFmt numFmtId="179" formatCode="&quot;Project plan updated as of: &quot;\ d\-mmmm\-yyyy"/>
    <numFmt numFmtId="180" formatCode="[$-409]d\-mmm;@"/>
    <numFmt numFmtId="181" formatCode="m/d;@"/>
    <numFmt numFmtId="182" formatCode="d\ mmm\ yyyy"/>
    <numFmt numFmtId="183" formatCode="d"/>
  </numFmts>
  <fonts count="50" x14ac:knownFonts="1">
    <font>
      <sz val="10"/>
      <name val="Arial"/>
      <charset val="134"/>
    </font>
    <font>
      <sz val="11"/>
      <color theme="1"/>
      <name val="黑体"/>
      <family val="2"/>
      <scheme val="minor"/>
    </font>
    <font>
      <sz val="18"/>
      <color theme="4" tint="-0.249977111117893"/>
      <name val="Arial"/>
      <family val="2"/>
    </font>
    <font>
      <sz val="12"/>
      <name val="Arial"/>
      <family val="2"/>
    </font>
    <font>
      <u/>
      <sz val="11"/>
      <color indexed="12"/>
      <name val="Arial"/>
      <family val="2"/>
    </font>
    <font>
      <b/>
      <sz val="12"/>
      <name val="Arial"/>
      <family val="2"/>
    </font>
    <font>
      <u/>
      <sz val="12"/>
      <color indexed="12"/>
      <name val="Arial"/>
      <family val="2"/>
    </font>
    <font>
      <b/>
      <sz val="10"/>
      <name val="Arial"/>
      <family val="2"/>
    </font>
    <font>
      <b/>
      <u/>
      <sz val="10"/>
      <color rgb="FFFF0000"/>
      <name val="黑体"/>
      <family val="3"/>
      <charset val="134"/>
      <scheme val="major"/>
    </font>
    <font>
      <sz val="10"/>
      <color rgb="FFFF0000"/>
      <name val="黑体"/>
      <family val="3"/>
      <charset val="134"/>
      <scheme val="minor"/>
    </font>
    <font>
      <b/>
      <u/>
      <sz val="10"/>
      <color rgb="FFFF0000"/>
      <name val="Arial"/>
      <family val="2"/>
    </font>
    <font>
      <sz val="9"/>
      <color rgb="FFFF0000"/>
      <name val="宋体"/>
      <family val="3"/>
      <charset val="134"/>
    </font>
    <font>
      <sz val="10"/>
      <color rgb="FFFF0000"/>
      <name val="Arial"/>
      <family val="2"/>
    </font>
    <font>
      <b/>
      <u/>
      <sz val="9"/>
      <color rgb="FFFF0000"/>
      <name val="Arial"/>
      <family val="2"/>
    </font>
    <font>
      <sz val="9"/>
      <color rgb="FFFF0000"/>
      <name val="Arial"/>
      <family val="2"/>
    </font>
    <font>
      <sz val="9"/>
      <name val="Arial"/>
      <family val="2"/>
    </font>
    <font>
      <sz val="9"/>
      <name val="黑体"/>
      <family val="3"/>
      <charset val="134"/>
      <scheme val="minor"/>
    </font>
    <font>
      <b/>
      <sz val="16"/>
      <color rgb="FF7030A0"/>
      <name val="黑体"/>
      <family val="3"/>
      <charset val="134"/>
      <scheme val="major"/>
    </font>
    <font>
      <i/>
      <sz val="11"/>
      <name val="黑体"/>
      <family val="3"/>
      <charset val="134"/>
      <scheme val="major"/>
    </font>
    <font>
      <sz val="10"/>
      <name val="黑体"/>
      <family val="3"/>
      <charset val="134"/>
      <scheme val="major"/>
    </font>
    <font>
      <i/>
      <sz val="10"/>
      <color rgb="FFFF0000"/>
      <name val="黑体"/>
      <family val="3"/>
      <charset val="134"/>
      <scheme val="major"/>
    </font>
    <font>
      <b/>
      <sz val="9"/>
      <name val="黑体"/>
      <family val="3"/>
      <charset val="134"/>
      <scheme val="major"/>
    </font>
    <font>
      <b/>
      <sz val="11"/>
      <name val="黑体"/>
      <family val="3"/>
      <charset val="134"/>
      <scheme val="minor"/>
    </font>
    <font>
      <sz val="10"/>
      <name val="黑体"/>
      <family val="3"/>
      <charset val="134"/>
      <scheme val="minor"/>
    </font>
    <font>
      <sz val="10"/>
      <color rgb="FF000000"/>
      <name val="黑体"/>
      <family val="3"/>
      <charset val="134"/>
      <scheme val="minor"/>
    </font>
    <font>
      <b/>
      <sz val="9"/>
      <name val="黑体"/>
      <family val="3"/>
      <charset val="134"/>
      <scheme val="minor"/>
    </font>
    <font>
      <sz val="14"/>
      <name val="黑体"/>
      <family val="3"/>
      <charset val="134"/>
      <scheme val="minor"/>
    </font>
    <font>
      <sz val="9"/>
      <color theme="0" tint="-0.249977111117893"/>
      <name val="黑体"/>
      <family val="3"/>
      <charset val="134"/>
      <scheme val="minor"/>
    </font>
    <font>
      <sz val="9"/>
      <color rgb="FFC00000"/>
      <name val="Wingdings"/>
      <charset val="2"/>
    </font>
    <font>
      <sz val="14"/>
      <color rgb="FF000000"/>
      <name val="黑体"/>
      <family val="3"/>
      <charset val="134"/>
      <scheme val="minor"/>
    </font>
    <font>
      <sz val="10"/>
      <color rgb="FFC00000"/>
      <name val="Wingdings"/>
      <charset val="2"/>
    </font>
    <font>
      <sz val="10"/>
      <color rgb="FF00A0D2"/>
      <name val="Wingdings"/>
      <charset val="2"/>
    </font>
    <font>
      <u/>
      <sz val="10"/>
      <color indexed="12"/>
      <name val="Arial"/>
      <family val="2"/>
    </font>
    <font>
      <sz val="11"/>
      <color theme="0"/>
      <name val="黑体"/>
      <family val="3"/>
      <charset val="134"/>
      <scheme val="minor"/>
    </font>
    <font>
      <sz val="10"/>
      <color theme="0"/>
      <name val="黑体"/>
      <family val="3"/>
      <charset val="134"/>
      <scheme val="minor"/>
    </font>
    <font>
      <sz val="8"/>
      <name val="Arial"/>
      <family val="2"/>
    </font>
    <font>
      <sz val="8"/>
      <name val="黑体"/>
      <family val="3"/>
      <charset val="134"/>
      <scheme val="minor"/>
    </font>
    <font>
      <i/>
      <sz val="8"/>
      <color theme="1" tint="0.34998626667073579"/>
      <name val="Arial"/>
      <family val="2"/>
    </font>
    <font>
      <b/>
      <sz val="8"/>
      <name val="Arial"/>
      <family val="2"/>
    </font>
    <font>
      <sz val="12"/>
      <name val="新細明體"/>
      <charset val="134"/>
    </font>
    <font>
      <sz val="10"/>
      <name val="Arial"/>
      <family val="2"/>
    </font>
    <font>
      <b/>
      <sz val="12"/>
      <name val="黑体"/>
      <family val="3"/>
      <charset val="134"/>
      <scheme val="major"/>
    </font>
    <font>
      <b/>
      <sz val="11"/>
      <name val="黑体"/>
      <family val="3"/>
      <charset val="134"/>
      <scheme val="major"/>
    </font>
    <font>
      <b/>
      <sz val="11"/>
      <name val="宋体"/>
      <family val="3"/>
      <charset val="134"/>
    </font>
    <font>
      <sz val="10"/>
      <name val="微软雅黑"/>
      <family val="2"/>
      <charset val="134"/>
    </font>
    <font>
      <sz val="10"/>
      <color rgb="FF7030A0"/>
      <name val="微软雅黑"/>
      <family val="2"/>
      <charset val="134"/>
    </font>
    <font>
      <sz val="10"/>
      <color rgb="FFFF0000"/>
      <name val="微软雅黑"/>
      <family val="2"/>
      <charset val="134"/>
    </font>
    <font>
      <b/>
      <sz val="10"/>
      <name val="黑体"/>
      <family val="3"/>
      <charset val="134"/>
      <scheme val="major"/>
    </font>
    <font>
      <sz val="9"/>
      <color indexed="81"/>
      <name val="宋体"/>
      <family val="3"/>
      <charset val="134"/>
    </font>
    <font>
      <b/>
      <sz val="9"/>
      <color indexed="81"/>
      <name val="宋体"/>
      <family val="3"/>
      <charset val="134"/>
    </font>
  </fonts>
  <fills count="13">
    <fill>
      <patternFill patternType="none"/>
    </fill>
    <fill>
      <patternFill patternType="gray125"/>
    </fill>
    <fill>
      <patternFill patternType="solid">
        <fgColor theme="9" tint="0.39997558519241921"/>
        <bgColor indexed="64"/>
      </patternFill>
    </fill>
    <fill>
      <patternFill patternType="solid">
        <fgColor theme="1"/>
        <bgColor indexed="64"/>
      </patternFill>
    </fill>
    <fill>
      <patternFill patternType="solid">
        <fgColor theme="0" tint="-0.14993743705557422"/>
        <bgColor indexed="64"/>
      </patternFill>
    </fill>
    <fill>
      <patternFill patternType="solid">
        <fgColor theme="0"/>
        <bgColor indexed="64"/>
      </patternFill>
    </fill>
    <fill>
      <patternFill patternType="solid">
        <fgColor rgb="FFD9E7DC"/>
        <bgColor indexed="64"/>
      </patternFill>
    </fill>
    <fill>
      <patternFill patternType="solid">
        <fgColor rgb="FFFFC000"/>
        <bgColor indexed="64"/>
      </patternFill>
    </fill>
    <fill>
      <patternFill patternType="solid">
        <fgColor theme="0" tint="-0.34998626667073579"/>
        <bgColor indexed="64"/>
      </patternFill>
    </fill>
    <fill>
      <patternFill patternType="solid">
        <fgColor rgb="FF7030A0"/>
        <bgColor indexed="64"/>
      </patternFill>
    </fill>
    <fill>
      <patternFill patternType="darkUp">
        <fgColor theme="0" tint="-0.14990691854609822"/>
        <bgColor theme="0" tint="-0.14993743705557422"/>
      </patternFill>
    </fill>
    <fill>
      <patternFill patternType="solid">
        <fgColor theme="9" tint="0.59999389629810485"/>
        <bgColor indexed="64"/>
      </patternFill>
    </fill>
    <fill>
      <patternFill patternType="solid">
        <fgColor rgb="FFFFFF00"/>
        <bgColor indexed="64"/>
      </patternFill>
    </fill>
  </fills>
  <borders count="3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top style="thin">
        <color indexed="22"/>
      </top>
      <bottom style="thin">
        <color indexed="22"/>
      </bottom>
      <diagonal/>
    </border>
    <border>
      <left style="thin">
        <color theme="0" tint="-0.14990691854609822"/>
      </left>
      <right/>
      <top style="thin">
        <color theme="0" tint="-0.14990691854609822"/>
      </top>
      <bottom/>
      <diagonal/>
    </border>
    <border>
      <left/>
      <right/>
      <top style="thin">
        <color theme="0" tint="-0.14990691854609822"/>
      </top>
      <bottom/>
      <diagonal/>
    </border>
    <border>
      <left style="thin">
        <color theme="0" tint="-0.14990691854609822"/>
      </left>
      <right/>
      <top/>
      <bottom/>
      <diagonal/>
    </border>
    <border>
      <left style="thin">
        <color rgb="FFFFC000"/>
      </left>
      <right style="thin">
        <color rgb="FFFFC000"/>
      </right>
      <top/>
      <bottom/>
      <diagonal/>
    </border>
    <border>
      <left style="thin">
        <color theme="0" tint="-0.14990691854609822"/>
      </left>
      <right/>
      <top/>
      <bottom style="thin">
        <color theme="0" tint="-0.14990691854609822"/>
      </bottom>
      <diagonal/>
    </border>
    <border>
      <left/>
      <right/>
      <top/>
      <bottom style="thin">
        <color theme="0" tint="-0.14990691854609822"/>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top style="medium">
        <color theme="0" tint="-0.34998626667073579"/>
      </top>
      <bottom style="thin">
        <color indexed="22"/>
      </bottom>
      <diagonal/>
    </border>
    <border>
      <left/>
      <right/>
      <top style="medium">
        <color theme="0" tint="-0.34998626667073579"/>
      </top>
      <bottom style="thin">
        <color indexed="22"/>
      </bottom>
      <diagonal/>
    </border>
    <border>
      <left/>
      <right style="thin">
        <color theme="0" tint="-0.24994659260841701"/>
      </right>
      <top style="medium">
        <color theme="0" tint="-0.34998626667073579"/>
      </top>
      <bottom style="thin">
        <color indexed="22"/>
      </bottom>
      <diagonal/>
    </border>
    <border>
      <left/>
      <right style="thin">
        <color theme="0" tint="-0.24994659260841701"/>
      </right>
      <top style="thin">
        <color indexed="22"/>
      </top>
      <bottom style="thin">
        <color indexed="22"/>
      </bottom>
      <diagonal/>
    </border>
    <border>
      <left/>
      <right style="thin">
        <color theme="0" tint="-0.14990691854609822"/>
      </right>
      <top style="thin">
        <color theme="0" tint="-0.14990691854609822"/>
      </top>
      <bottom/>
      <diagonal/>
    </border>
    <border>
      <left/>
      <right style="thin">
        <color theme="0" tint="-0.14990691854609822"/>
      </right>
      <top/>
      <bottom/>
      <diagonal/>
    </border>
    <border>
      <left/>
      <right style="thin">
        <color theme="0" tint="-0.14990691854609822"/>
      </right>
      <top/>
      <bottom style="thin">
        <color theme="0" tint="-0.14990691854609822"/>
      </bottom>
      <diagonal/>
    </border>
  </borders>
  <cellStyleXfs count="5">
    <xf numFmtId="0" fontId="0" fillId="0" borderId="0"/>
    <xf numFmtId="9" fontId="40" fillId="0" borderId="0" applyFont="0" applyFill="0" applyBorder="0" applyAlignment="0" applyProtection="0"/>
    <xf numFmtId="0" fontId="32" fillId="0" borderId="0" applyNumberFormat="0" applyFill="0" applyBorder="0" applyAlignment="0" applyProtection="0">
      <alignment vertical="top"/>
      <protection locked="0"/>
    </xf>
    <xf numFmtId="0" fontId="39" fillId="0" borderId="0">
      <alignment vertical="center"/>
    </xf>
    <xf numFmtId="0" fontId="1" fillId="0" borderId="0"/>
  </cellStyleXfs>
  <cellXfs count="156">
    <xf numFmtId="0" fontId="0" fillId="0" borderId="0" xfId="0"/>
    <xf numFmtId="0" fontId="2" fillId="0" borderId="0" xfId="0" applyFont="1" applyAlignment="1">
      <alignment horizontal="left" vertical="center"/>
    </xf>
    <xf numFmtId="0" fontId="3" fillId="0" borderId="0" xfId="0" applyFont="1" applyAlignment="1">
      <alignment horizontal="left" wrapText="1"/>
    </xf>
    <xf numFmtId="0" fontId="0" fillId="0" borderId="1" xfId="0" applyBorder="1"/>
    <xf numFmtId="0" fontId="3" fillId="0" borderId="1" xfId="0" applyFont="1" applyBorder="1" applyAlignment="1">
      <alignment horizontal="left" wrapText="1"/>
    </xf>
    <xf numFmtId="0" fontId="0" fillId="0" borderId="2" xfId="0" applyBorder="1"/>
    <xf numFmtId="0" fontId="4" fillId="0" borderId="1" xfId="2" applyFont="1" applyBorder="1" applyAlignment="1" applyProtection="1">
      <alignment wrapText="1"/>
    </xf>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2" applyFont="1" applyBorder="1" applyAlignment="1" applyProtection="1">
      <alignment horizontal="left" wrapText="1"/>
    </xf>
    <xf numFmtId="0" fontId="3" fillId="0" borderId="2" xfId="0" applyFont="1" applyBorder="1" applyAlignment="1">
      <alignment horizontal="left"/>
    </xf>
    <xf numFmtId="0" fontId="7" fillId="0" borderId="4" xfId="0" applyFont="1" applyBorder="1"/>
    <xf numFmtId="0" fontId="0" fillId="0" borderId="4" xfId="0" applyBorder="1"/>
    <xf numFmtId="0" fontId="8" fillId="0" borderId="0" xfId="0" applyFont="1" applyAlignment="1">
      <alignment horizontal="right" vertical="center"/>
    </xf>
    <xf numFmtId="0" fontId="10" fillId="0" borderId="0" xfId="0" applyFont="1" applyAlignment="1">
      <alignment horizontal="right"/>
    </xf>
    <xf numFmtId="0" fontId="11" fillId="0" borderId="8"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2" fillId="0" borderId="0" xfId="0" applyFont="1" applyAlignment="1">
      <alignment horizontal="center"/>
    </xf>
    <xf numFmtId="0" fontId="13" fillId="0" borderId="0" xfId="0" applyFont="1"/>
    <xf numFmtId="0" fontId="14" fillId="0" borderId="0" xfId="0" applyFont="1"/>
    <xf numFmtId="0" fontId="15" fillId="0" borderId="0" xfId="0" applyFont="1"/>
    <xf numFmtId="177" fontId="14" fillId="0" borderId="8" xfId="0" applyNumberFormat="1" applyFont="1" applyBorder="1" applyAlignment="1">
      <alignment horizontal="center"/>
    </xf>
    <xf numFmtId="177" fontId="14" fillId="0" borderId="9" xfId="0" applyNumberFormat="1" applyFont="1" applyBorder="1" applyAlignment="1">
      <alignment horizontal="center"/>
    </xf>
    <xf numFmtId="16" fontId="0" fillId="0" borderId="0" xfId="0" applyNumberFormat="1"/>
    <xf numFmtId="0" fontId="14" fillId="0" borderId="9" xfId="0" applyFont="1" applyBorder="1" applyAlignment="1">
      <alignment horizontal="center"/>
    </xf>
    <xf numFmtId="0" fontId="14" fillId="0" borderId="10" xfId="0" applyFont="1" applyBorder="1" applyAlignment="1">
      <alignment horizontal="center"/>
    </xf>
    <xf numFmtId="0" fontId="0" fillId="0" borderId="0" xfId="0" applyAlignment="1">
      <alignment horizontal="center"/>
    </xf>
    <xf numFmtId="178" fontId="0" fillId="0" borderId="0" xfId="0" applyNumberFormat="1"/>
    <xf numFmtId="0" fontId="16" fillId="0" borderId="0" xfId="0" applyFont="1" applyAlignment="1">
      <alignment vertical="center"/>
    </xf>
    <xf numFmtId="0" fontId="0" fillId="2" borderId="0" xfId="0" applyFill="1"/>
    <xf numFmtId="0" fontId="0" fillId="3" borderId="0" xfId="0" applyFill="1"/>
    <xf numFmtId="0" fontId="19" fillId="0" borderId="0" xfId="0" applyFont="1"/>
    <xf numFmtId="0" fontId="20" fillId="0" borderId="0" xfId="0" applyFont="1"/>
    <xf numFmtId="0" fontId="22" fillId="4" borderId="12" xfId="0" applyFont="1" applyFill="1" applyBorder="1" applyAlignment="1">
      <alignment horizontal="left" vertical="center"/>
    </xf>
    <xf numFmtId="0" fontId="22" fillId="4" borderId="13" xfId="0" applyFont="1" applyFill="1" applyBorder="1" applyAlignment="1">
      <alignment horizontal="left" vertical="center"/>
    </xf>
    <xf numFmtId="0" fontId="22" fillId="4" borderId="12" xfId="0" applyFont="1" applyFill="1" applyBorder="1" applyAlignment="1">
      <alignment vertical="center"/>
    </xf>
    <xf numFmtId="0" fontId="23" fillId="0" borderId="13" xfId="0" applyFont="1" applyBorder="1" applyAlignment="1">
      <alignment horizontal="left" vertical="center"/>
    </xf>
    <xf numFmtId="0" fontId="17" fillId="0" borderId="0" xfId="0" applyFont="1" applyAlignment="1" applyProtection="1">
      <alignment vertical="top"/>
      <protection locked="0"/>
    </xf>
    <xf numFmtId="0" fontId="19" fillId="0" borderId="0" xfId="0" applyFont="1" applyAlignment="1">
      <alignment horizontal="left"/>
    </xf>
    <xf numFmtId="0" fontId="19" fillId="2" borderId="0" xfId="0" applyFont="1" applyFill="1"/>
    <xf numFmtId="0" fontId="21" fillId="2" borderId="11" xfId="0" applyFont="1" applyFill="1" applyBorder="1" applyAlignment="1">
      <alignment horizontal="center" vertical="center" wrapText="1"/>
    </xf>
    <xf numFmtId="180" fontId="16" fillId="4" borderId="12" xfId="0" applyNumberFormat="1" applyFont="1" applyFill="1" applyBorder="1" applyAlignment="1">
      <alignment horizontal="center" vertical="center"/>
    </xf>
    <xf numFmtId="9" fontId="16" fillId="4" borderId="12" xfId="1" applyFont="1" applyFill="1" applyBorder="1" applyAlignment="1" applyProtection="1">
      <alignment horizontal="center" vertical="center"/>
    </xf>
    <xf numFmtId="180" fontId="25" fillId="4" borderId="12" xfId="0" applyNumberFormat="1" applyFont="1" applyFill="1" applyBorder="1" applyAlignment="1">
      <alignment horizontal="center" vertical="center"/>
    </xf>
    <xf numFmtId="1" fontId="26" fillId="2" borderId="12" xfId="0" applyNumberFormat="1" applyFont="1" applyFill="1" applyBorder="1" applyAlignment="1">
      <alignment horizontal="center" vertical="center"/>
    </xf>
    <xf numFmtId="181" fontId="16" fillId="6" borderId="14" xfId="0" applyNumberFormat="1" applyFont="1" applyFill="1" applyBorder="1" applyAlignment="1">
      <alignment horizontal="center" vertical="center"/>
    </xf>
    <xf numFmtId="181" fontId="25" fillId="6" borderId="14" xfId="0" applyNumberFormat="1" applyFont="1" applyFill="1" applyBorder="1" applyAlignment="1">
      <alignment horizontal="center" vertical="center"/>
    </xf>
    <xf numFmtId="1" fontId="29" fillId="2" borderId="14" xfId="0" applyNumberFormat="1" applyFont="1" applyFill="1" applyBorder="1" applyAlignment="1">
      <alignment horizontal="center" vertical="center"/>
    </xf>
    <xf numFmtId="9" fontId="27" fillId="5" borderId="14" xfId="1" applyFont="1" applyFill="1" applyBorder="1" applyAlignment="1" applyProtection="1">
      <alignment horizontal="center" vertical="center"/>
    </xf>
    <xf numFmtId="181" fontId="16" fillId="4" borderId="12" xfId="0" applyNumberFormat="1" applyFont="1" applyFill="1" applyBorder="1" applyAlignment="1">
      <alignment horizontal="center" vertical="center"/>
    </xf>
    <xf numFmtId="9" fontId="16" fillId="4" borderId="13" xfId="1" applyFont="1" applyFill="1" applyBorder="1" applyAlignment="1" applyProtection="1">
      <alignment horizontal="center" vertical="center"/>
    </xf>
    <xf numFmtId="181" fontId="25" fillId="4" borderId="12" xfId="0" applyNumberFormat="1" applyFont="1" applyFill="1" applyBorder="1" applyAlignment="1">
      <alignment horizontal="center" vertical="center"/>
    </xf>
    <xf numFmtId="1" fontId="26" fillId="2" borderId="13" xfId="0" applyNumberFormat="1" applyFont="1" applyFill="1" applyBorder="1" applyAlignment="1">
      <alignment horizontal="center" vertical="center"/>
    </xf>
    <xf numFmtId="0" fontId="23" fillId="0" borderId="17" xfId="3" applyFont="1" applyBorder="1" applyAlignment="1">
      <alignment horizontal="left"/>
    </xf>
    <xf numFmtId="0" fontId="0" fillId="0" borderId="17" xfId="3" applyFont="1" applyBorder="1" applyAlignment="1">
      <alignment horizontal="center"/>
    </xf>
    <xf numFmtId="0" fontId="23" fillId="0" borderId="0" xfId="3" applyFont="1" applyAlignment="1">
      <alignment horizontal="left" vertical="center"/>
    </xf>
    <xf numFmtId="0" fontId="0" fillId="0" borderId="0" xfId="3" applyFont="1" applyAlignment="1">
      <alignment horizontal="center" vertical="center"/>
    </xf>
    <xf numFmtId="0" fontId="30" fillId="0" borderId="18" xfId="3" applyFont="1" applyBorder="1">
      <alignment vertical="center"/>
    </xf>
    <xf numFmtId="0" fontId="30" fillId="7" borderId="19" xfId="3" applyFont="1" applyFill="1" applyBorder="1">
      <alignment vertical="center"/>
    </xf>
    <xf numFmtId="0" fontId="30" fillId="0" borderId="0" xfId="3" applyFont="1">
      <alignment vertical="center"/>
    </xf>
    <xf numFmtId="0" fontId="30" fillId="0" borderId="20" xfId="3" applyFont="1" applyBorder="1" applyAlignment="1">
      <alignment horizontal="center" vertical="center"/>
    </xf>
    <xf numFmtId="0" fontId="30" fillId="8" borderId="21" xfId="3" applyFont="1" applyFill="1" applyBorder="1" applyAlignment="1">
      <alignment horizontal="center" vertical="center"/>
    </xf>
    <xf numFmtId="0" fontId="30" fillId="0" borderId="21" xfId="3" applyFont="1" applyBorder="1" applyAlignment="1">
      <alignment horizontal="center" vertical="center"/>
    </xf>
    <xf numFmtId="0" fontId="23" fillId="0" borderId="21" xfId="3" applyFont="1" applyBorder="1" applyAlignment="1">
      <alignment horizontal="left" vertical="center"/>
    </xf>
    <xf numFmtId="0" fontId="0" fillId="0" borderId="21" xfId="3" applyFont="1" applyBorder="1" applyAlignment="1">
      <alignment horizontal="center" vertical="center" wrapText="1"/>
    </xf>
    <xf numFmtId="0" fontId="32" fillId="0" borderId="0" xfId="2" applyAlignment="1" applyProtection="1">
      <alignment horizontal="left"/>
    </xf>
    <xf numFmtId="183" fontId="35" fillId="0" borderId="22" xfId="0" applyNumberFormat="1" applyFont="1" applyBorder="1" applyAlignment="1">
      <alignment horizontal="center" vertical="center" shrinkToFit="1"/>
    </xf>
    <xf numFmtId="183" fontId="35" fillId="0" borderId="23" xfId="0" applyNumberFormat="1" applyFont="1" applyBorder="1" applyAlignment="1">
      <alignment horizontal="center" vertical="center" shrinkToFit="1"/>
    </xf>
    <xf numFmtId="0" fontId="36" fillId="0" borderId="24" xfId="0" applyFont="1" applyBorder="1" applyAlignment="1">
      <alignment horizontal="center" vertical="center" shrinkToFit="1"/>
    </xf>
    <xf numFmtId="0" fontId="36" fillId="0" borderId="25" xfId="0" applyFont="1" applyBorder="1" applyAlignment="1">
      <alignment horizontal="center" vertical="center" shrinkToFit="1"/>
    </xf>
    <xf numFmtId="0" fontId="28" fillId="4" borderId="26" xfId="0" applyFont="1" applyFill="1" applyBorder="1" applyAlignment="1">
      <alignment horizontal="left" vertical="center"/>
    </xf>
    <xf numFmtId="0" fontId="28" fillId="4" borderId="27" xfId="0" applyFont="1" applyFill="1" applyBorder="1" applyAlignment="1">
      <alignment horizontal="left" vertical="center"/>
    </xf>
    <xf numFmtId="0" fontId="28" fillId="4" borderId="28" xfId="0" applyFont="1" applyFill="1" applyBorder="1" applyAlignment="1">
      <alignment horizontal="left" vertical="center"/>
    </xf>
    <xf numFmtId="0" fontId="28" fillId="4" borderId="15" xfId="0" applyFont="1" applyFill="1" applyBorder="1" applyAlignment="1">
      <alignment horizontal="left" vertical="center"/>
    </xf>
    <xf numFmtId="0" fontId="28" fillId="4" borderId="13" xfId="0" applyFont="1" applyFill="1" applyBorder="1" applyAlignment="1">
      <alignment horizontal="left" vertical="center"/>
    </xf>
    <xf numFmtId="0" fontId="28" fillId="4" borderId="29" xfId="0" applyFont="1" applyFill="1" applyBorder="1" applyAlignment="1">
      <alignment horizontal="left" vertical="center"/>
    </xf>
    <xf numFmtId="0" fontId="28" fillId="5" borderId="15" xfId="0" applyFont="1" applyFill="1" applyBorder="1" applyAlignment="1">
      <alignment horizontal="left" vertical="center"/>
    </xf>
    <xf numFmtId="0" fontId="28" fillId="5" borderId="13" xfId="0" applyFont="1" applyFill="1" applyBorder="1" applyAlignment="1">
      <alignment horizontal="left" vertical="center"/>
    </xf>
    <xf numFmtId="0" fontId="28" fillId="5" borderId="29" xfId="0" applyFont="1" applyFill="1" applyBorder="1" applyAlignment="1">
      <alignment horizontal="left" vertical="center"/>
    </xf>
    <xf numFmtId="0" fontId="0" fillId="0" borderId="17" xfId="3" applyFont="1" applyBorder="1" applyAlignment="1">
      <alignment horizontal="center" vertical="center"/>
    </xf>
    <xf numFmtId="0" fontId="37" fillId="0" borderId="17" xfId="2" applyFont="1" applyBorder="1" applyAlignment="1" applyProtection="1">
      <alignment vertical="center"/>
    </xf>
    <xf numFmtId="0" fontId="37" fillId="0" borderId="30" xfId="2" applyFont="1" applyBorder="1" applyAlignment="1" applyProtection="1">
      <alignment vertical="center"/>
    </xf>
    <xf numFmtId="0" fontId="37" fillId="0" borderId="0" xfId="2" applyFont="1" applyBorder="1" applyAlignment="1" applyProtection="1">
      <alignment vertical="center"/>
    </xf>
    <xf numFmtId="0" fontId="37" fillId="0" borderId="31" xfId="2" applyFont="1" applyBorder="1" applyAlignment="1" applyProtection="1">
      <alignment vertical="center"/>
    </xf>
    <xf numFmtId="0" fontId="37" fillId="0" borderId="21" xfId="2" applyFont="1" applyBorder="1" applyAlignment="1" applyProtection="1">
      <alignment vertical="center"/>
    </xf>
    <xf numFmtId="0" fontId="37" fillId="0" borderId="32" xfId="2" applyFont="1" applyBorder="1" applyAlignment="1" applyProtection="1">
      <alignment vertical="center"/>
    </xf>
    <xf numFmtId="0" fontId="38" fillId="0" borderId="0" xfId="0" applyFont="1" applyAlignment="1">
      <alignment wrapText="1"/>
    </xf>
    <xf numFmtId="0" fontId="28" fillId="10" borderId="26" xfId="0" applyFont="1" applyFill="1" applyBorder="1" applyAlignment="1">
      <alignment horizontal="left" vertical="center"/>
    </xf>
    <xf numFmtId="0" fontId="28" fillId="10" borderId="26" xfId="0" applyFont="1" applyFill="1" applyBorder="1" applyAlignment="1">
      <alignment vertical="center"/>
    </xf>
    <xf numFmtId="0" fontId="28" fillId="10" borderId="15" xfId="0" applyFont="1" applyFill="1" applyBorder="1" applyAlignment="1">
      <alignment horizontal="left" vertical="center"/>
    </xf>
    <xf numFmtId="0" fontId="28" fillId="4" borderId="29" xfId="0" applyFont="1" applyFill="1" applyBorder="1" applyAlignment="1">
      <alignment vertical="center"/>
    </xf>
    <xf numFmtId="0" fontId="28" fillId="10" borderId="15" xfId="0" applyFont="1" applyFill="1" applyBorder="1" applyAlignment="1">
      <alignment vertical="center"/>
    </xf>
    <xf numFmtId="0" fontId="28" fillId="5" borderId="13" xfId="0" applyFont="1" applyFill="1" applyBorder="1" applyAlignment="1">
      <alignment vertical="center"/>
    </xf>
    <xf numFmtId="0" fontId="28" fillId="10" borderId="27" xfId="0" applyFont="1" applyFill="1" applyBorder="1" applyAlignment="1">
      <alignment vertical="center"/>
    </xf>
    <xf numFmtId="0" fontId="28" fillId="10" borderId="28" xfId="0" applyFont="1" applyFill="1" applyBorder="1" applyAlignment="1">
      <alignment vertical="center"/>
    </xf>
    <xf numFmtId="0" fontId="28" fillId="4" borderId="26" xfId="0" applyFont="1" applyFill="1" applyBorder="1" applyAlignment="1">
      <alignment vertical="center"/>
    </xf>
    <xf numFmtId="0" fontId="28" fillId="4" borderId="27" xfId="0" applyFont="1" applyFill="1" applyBorder="1" applyAlignment="1">
      <alignment vertical="center"/>
    </xf>
    <xf numFmtId="0" fontId="28" fillId="10" borderId="13" xfId="0" applyFont="1" applyFill="1" applyBorder="1" applyAlignment="1">
      <alignment vertical="center"/>
    </xf>
    <xf numFmtId="0" fontId="28" fillId="10" borderId="29" xfId="0" applyFont="1" applyFill="1" applyBorder="1" applyAlignment="1">
      <alignment vertical="center"/>
    </xf>
    <xf numFmtId="0" fontId="28" fillId="4" borderId="15" xfId="0" applyFont="1" applyFill="1" applyBorder="1" applyAlignment="1">
      <alignment vertical="center"/>
    </xf>
    <xf numFmtId="0" fontId="28" fillId="4" borderId="13" xfId="0" applyFont="1" applyFill="1" applyBorder="1" applyAlignment="1">
      <alignment vertical="center"/>
    </xf>
    <xf numFmtId="0" fontId="28" fillId="5" borderId="15" xfId="0" applyFont="1" applyFill="1" applyBorder="1" applyAlignment="1">
      <alignment vertical="center"/>
    </xf>
    <xf numFmtId="0" fontId="28" fillId="4" borderId="28" xfId="0" applyFont="1" applyFill="1" applyBorder="1" applyAlignment="1">
      <alignment vertical="center"/>
    </xf>
    <xf numFmtId="0" fontId="28" fillId="5" borderId="29" xfId="0" applyFont="1" applyFill="1" applyBorder="1" applyAlignment="1">
      <alignment vertical="center"/>
    </xf>
    <xf numFmtId="0" fontId="16" fillId="4" borderId="0" xfId="0" applyFont="1" applyFill="1" applyAlignment="1">
      <alignment vertical="center"/>
    </xf>
    <xf numFmtId="0" fontId="16" fillId="3" borderId="0" xfId="0" applyFont="1" applyFill="1" applyAlignment="1">
      <alignment vertical="center"/>
    </xf>
    <xf numFmtId="0" fontId="16" fillId="5" borderId="0" xfId="0" applyFont="1" applyFill="1" applyAlignment="1">
      <alignment vertical="center"/>
    </xf>
    <xf numFmtId="0" fontId="23" fillId="0" borderId="0" xfId="0" applyFont="1" applyAlignment="1">
      <alignment vertical="center" wrapText="1"/>
    </xf>
    <xf numFmtId="0" fontId="23" fillId="0" borderId="14" xfId="0" applyFont="1" applyBorder="1" applyAlignment="1">
      <alignment vertical="center" wrapText="1"/>
    </xf>
    <xf numFmtId="0" fontId="7" fillId="0" borderId="0" xfId="0" applyFont="1" applyAlignment="1">
      <alignment horizontal="left" wrapText="1"/>
    </xf>
    <xf numFmtId="0" fontId="0" fillId="0" borderId="0" xfId="0" applyAlignment="1">
      <alignment horizontal="left" wrapText="1"/>
    </xf>
    <xf numFmtId="0" fontId="17" fillId="0" borderId="0" xfId="0" applyFont="1" applyAlignment="1" applyProtection="1">
      <alignment vertical="top" wrapText="1"/>
      <protection locked="0"/>
    </xf>
    <xf numFmtId="0" fontId="19" fillId="0" borderId="0" xfId="0" applyFont="1" applyAlignment="1">
      <alignment horizontal="left" wrapText="1"/>
    </xf>
    <xf numFmtId="1" fontId="16" fillId="4" borderId="12" xfId="0" applyNumberFormat="1" applyFont="1" applyFill="1" applyBorder="1" applyAlignment="1">
      <alignment horizontal="left" vertical="center" wrapText="1"/>
    </xf>
    <xf numFmtId="181" fontId="25" fillId="6" borderId="14" xfId="0" applyNumberFormat="1" applyFont="1" applyFill="1" applyBorder="1" applyAlignment="1">
      <alignment horizontal="center" vertical="center" wrapText="1"/>
    </xf>
    <xf numFmtId="1" fontId="16" fillId="4" borderId="13" xfId="0" applyNumberFormat="1" applyFont="1" applyFill="1" applyBorder="1" applyAlignment="1">
      <alignment horizontal="left" vertical="center" wrapText="1"/>
    </xf>
    <xf numFmtId="0" fontId="0" fillId="0" borderId="0" xfId="0" applyAlignment="1">
      <alignment wrapText="1"/>
    </xf>
    <xf numFmtId="0" fontId="22" fillId="4" borderId="12" xfId="0" applyFont="1" applyFill="1" applyBorder="1" applyAlignment="1">
      <alignment horizontal="left" vertical="center" wrapText="1"/>
    </xf>
    <xf numFmtId="0" fontId="22" fillId="4" borderId="12" xfId="0" applyFont="1" applyFill="1" applyBorder="1" applyAlignment="1">
      <alignment vertical="center" wrapText="1"/>
    </xf>
    <xf numFmtId="0" fontId="24" fillId="0" borderId="14" xfId="0" applyFont="1" applyBorder="1" applyAlignment="1">
      <alignment vertical="center" wrapText="1"/>
    </xf>
    <xf numFmtId="0" fontId="17" fillId="0" borderId="0" xfId="0" applyFont="1" applyAlignment="1" applyProtection="1">
      <alignment vertical="center"/>
      <protection locked="0"/>
    </xf>
    <xf numFmtId="0" fontId="0" fillId="0" borderId="0" xfId="0" applyAlignment="1">
      <alignment vertical="center" wrapText="1"/>
    </xf>
    <xf numFmtId="0" fontId="23" fillId="0" borderId="0" xfId="0" applyFont="1" applyAlignment="1">
      <alignment horizontal="left" vertical="center"/>
    </xf>
    <xf numFmtId="0" fontId="0" fillId="0" borderId="0" xfId="0" applyAlignment="1">
      <alignment horizontal="center" vertical="center"/>
    </xf>
    <xf numFmtId="0" fontId="43" fillId="0" borderId="3" xfId="0" applyFont="1" applyBorder="1" applyAlignment="1">
      <alignment horizontal="center" vertical="top"/>
    </xf>
    <xf numFmtId="14" fontId="0" fillId="0" borderId="0" xfId="0" applyNumberFormat="1"/>
    <xf numFmtId="0" fontId="40" fillId="0" borderId="0" xfId="0" applyFont="1"/>
    <xf numFmtId="0" fontId="44" fillId="0" borderId="0" xfId="0" applyFont="1" applyAlignment="1">
      <alignment horizontal="center" vertical="center"/>
    </xf>
    <xf numFmtId="0" fontId="44" fillId="0" borderId="0" xfId="0" applyFont="1" applyAlignment="1">
      <alignment horizontal="center" vertical="center" wrapText="1"/>
    </xf>
    <xf numFmtId="0" fontId="45" fillId="0" borderId="0" xfId="0" applyFont="1" applyAlignment="1">
      <alignment horizontal="center" vertical="center" wrapText="1"/>
    </xf>
    <xf numFmtId="0" fontId="46" fillId="0" borderId="0" xfId="0" applyFont="1" applyAlignment="1">
      <alignment horizontal="center" vertical="center" wrapText="1"/>
    </xf>
    <xf numFmtId="0" fontId="44" fillId="0" borderId="0" xfId="0" applyFont="1" applyAlignment="1">
      <alignment vertical="center" wrapText="1"/>
    </xf>
    <xf numFmtId="0" fontId="0" fillId="12" borderId="0" xfId="0" applyFill="1" applyAlignment="1">
      <alignment horizontal="center" vertical="center" wrapText="1"/>
    </xf>
    <xf numFmtId="0" fontId="43" fillId="0" borderId="3" xfId="4" applyFont="1" applyBorder="1" applyAlignment="1">
      <alignment horizontal="center" vertical="top"/>
    </xf>
    <xf numFmtId="0" fontId="1" fillId="0" borderId="0" xfId="4"/>
    <xf numFmtId="0" fontId="41" fillId="11" borderId="0" xfId="0" applyFont="1" applyFill="1" applyAlignment="1">
      <alignment horizontal="center" vertical="center" wrapText="1"/>
    </xf>
    <xf numFmtId="0" fontId="41" fillId="11" borderId="11" xfId="0" applyFont="1" applyFill="1" applyBorder="1" applyAlignment="1">
      <alignment horizontal="center" vertical="center" wrapText="1"/>
    </xf>
    <xf numFmtId="182" fontId="34" fillId="9" borderId="22" xfId="0" applyNumberFormat="1" applyFont="1" applyFill="1" applyBorder="1" applyAlignment="1">
      <alignment horizontal="center" vertical="center"/>
    </xf>
    <xf numFmtId="182" fontId="34" fillId="9" borderId="23" xfId="0" applyNumberFormat="1" applyFont="1" applyFill="1" applyBorder="1" applyAlignment="1">
      <alignment horizontal="center" vertical="center"/>
    </xf>
    <xf numFmtId="0" fontId="42" fillId="11" borderId="0" xfId="0" applyFont="1" applyFill="1" applyAlignment="1">
      <alignment horizontal="center" vertical="center" wrapText="1"/>
    </xf>
    <xf numFmtId="0" fontId="42" fillId="11" borderId="11" xfId="0" applyFont="1" applyFill="1" applyBorder="1" applyAlignment="1">
      <alignment horizontal="center" vertical="center" wrapText="1"/>
    </xf>
    <xf numFmtId="0" fontId="47" fillId="11" borderId="0" xfId="0" applyFont="1" applyFill="1" applyAlignment="1">
      <alignment horizontal="center" vertical="center" wrapText="1"/>
    </xf>
    <xf numFmtId="0" fontId="47" fillId="11" borderId="11" xfId="0" applyFont="1" applyFill="1" applyBorder="1" applyAlignment="1">
      <alignment horizontal="center" vertical="center" wrapText="1"/>
    </xf>
    <xf numFmtId="0" fontId="33" fillId="9" borderId="22" xfId="0" applyFont="1" applyFill="1" applyBorder="1" applyAlignment="1">
      <alignment horizontal="center" vertical="center"/>
    </xf>
    <xf numFmtId="0" fontId="33" fillId="9" borderId="23" xfId="0" applyFont="1" applyFill="1" applyBorder="1" applyAlignment="1">
      <alignment horizontal="center" vertical="center"/>
    </xf>
    <xf numFmtId="0" fontId="30" fillId="0" borderId="16" xfId="3" applyFont="1" applyBorder="1" applyAlignment="1">
      <alignment horizontal="center"/>
    </xf>
    <xf numFmtId="0" fontId="30" fillId="0" borderId="17" xfId="3" applyFont="1" applyBorder="1" applyAlignment="1">
      <alignment horizontal="center"/>
    </xf>
    <xf numFmtId="0" fontId="31" fillId="0" borderId="18" xfId="3" applyFont="1" applyBorder="1" applyAlignment="1">
      <alignment horizontal="center" vertical="center"/>
    </xf>
    <xf numFmtId="0" fontId="31" fillId="0" borderId="0" xfId="3" applyFont="1" applyAlignment="1">
      <alignment horizontal="center" vertical="center"/>
    </xf>
    <xf numFmtId="179" fontId="18" fillId="0" borderId="0" xfId="0" applyNumberFormat="1" applyFont="1" applyAlignment="1" applyProtection="1">
      <alignment horizontal="left" vertical="center"/>
      <protection locked="0"/>
    </xf>
    <xf numFmtId="176" fontId="9" fillId="0" borderId="5" xfId="0" applyNumberFormat="1" applyFont="1" applyBorder="1" applyAlignment="1" applyProtection="1">
      <alignment horizontal="center" vertical="center" shrinkToFit="1"/>
      <protection locked="0"/>
    </xf>
    <xf numFmtId="176" fontId="9" fillId="0" borderId="6" xfId="0" applyNumberFormat="1" applyFont="1" applyBorder="1" applyAlignment="1" applyProtection="1">
      <alignment horizontal="center" vertical="center" shrinkToFit="1"/>
      <protection locked="0"/>
    </xf>
    <xf numFmtId="176" fontId="9" fillId="0" borderId="7" xfId="0" applyNumberFormat="1" applyFont="1" applyBorder="1" applyAlignment="1" applyProtection="1">
      <alignment horizontal="center" vertical="center" shrinkToFit="1"/>
      <protection locked="0"/>
    </xf>
    <xf numFmtId="0" fontId="1" fillId="0" borderId="0" xfId="4" applyNumberFormat="1"/>
    <xf numFmtId="0" fontId="0" fillId="0" borderId="0" xfId="0" applyNumberFormat="1"/>
  </cellXfs>
  <cellStyles count="5">
    <cellStyle name="Normal 2" xfId="3" xr:uid="{00000000-0005-0000-0000-000000000000}"/>
    <cellStyle name="百分比" xfId="1" builtinId="5"/>
    <cellStyle name="常规" xfId="0" builtinId="0"/>
    <cellStyle name="常规 2" xfId="4" xr:uid="{44301662-0648-4C0B-AE2A-15D946162485}"/>
    <cellStyle name="超链接" xfId="2" builtinId="8"/>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patternType="solid">
          <bgColor rgb="FFC8D7DF"/>
        </patternFill>
      </fill>
    </dxf>
    <dxf>
      <font>
        <color theme="0"/>
      </font>
      <fill>
        <patternFill patternType="solid">
          <bgColor rgb="FF7030A0"/>
        </patternFill>
      </fill>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border>
        <left style="thin">
          <color rgb="FFFFB81C"/>
        </left>
        <right style="thin">
          <color rgb="FFFFB81C"/>
        </right>
      </border>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border>
        <left style="thin">
          <color rgb="FFFFB81C"/>
        </left>
        <right style="thin">
          <color rgb="FFFFB81C"/>
        </right>
      </border>
    </dxf>
    <dxf>
      <fill>
        <patternFill patternType="solid">
          <bgColor theme="0" tint="-0.499984740745262"/>
        </patternFill>
      </fill>
    </dxf>
    <dxf>
      <font>
        <color theme="1"/>
      </font>
      <fill>
        <patternFill patternType="solid">
          <bgColor rgb="FFFFB81C"/>
        </patternFill>
      </fill>
    </dxf>
    <dxf>
      <font>
        <color theme="0"/>
      </font>
      <fill>
        <patternFill patternType="solid">
          <bgColor rgb="FF7030A0"/>
        </patternFill>
      </fill>
    </dxf>
    <dxf>
      <fill>
        <patternFill patternType="solid">
          <bgColor theme="0" tint="-0.499984740745262"/>
        </patternFill>
      </fill>
    </dxf>
    <dxf>
      <font>
        <color rgb="FFC00000"/>
      </font>
      <fill>
        <patternFill patternType="solid">
          <bgColor rgb="FFC8D7DF"/>
        </patternFill>
      </fill>
    </dxf>
    <dxf>
      <font>
        <color theme="0"/>
      </font>
      <fill>
        <patternFill patternType="solid">
          <bgColor rgb="FF7030A0"/>
        </patternFill>
      </fill>
    </dxf>
    <dxf>
      <fill>
        <patternFill patternType="solid">
          <bgColor theme="0" tint="-0.499984740745262"/>
        </patternFill>
      </fill>
    </dxf>
    <dxf>
      <font>
        <color rgb="FFC00000"/>
      </font>
      <fill>
        <patternFill patternType="solid">
          <bgColor rgb="FFC8D7DF"/>
        </patternFill>
      </fill>
    </dxf>
    <dxf>
      <font>
        <color rgb="FFC00000"/>
      </font>
      <fill>
        <patternFill patternType="solid">
          <bgColor rgb="FFC8D7DF"/>
        </patternFill>
      </fill>
    </dxf>
    <dxf>
      <font>
        <color theme="0"/>
      </font>
      <fill>
        <patternFill patternType="solid">
          <bgColor rgb="FF7030A0"/>
        </patternFill>
      </fill>
    </dxf>
    <dxf>
      <fill>
        <patternFill patternType="solid">
          <bgColor theme="0" tint="-0.499984740745262"/>
        </patternFill>
      </fill>
    </dxf>
    <dxf>
      <font>
        <color rgb="FFC00000"/>
      </font>
      <fill>
        <patternFill patternType="solid">
          <bgColor rgb="FFC8D7DF"/>
        </patternFill>
      </fill>
    </dxf>
    <dxf>
      <font>
        <color theme="0"/>
      </font>
      <fill>
        <patternFill patternType="solid">
          <bgColor rgb="FF7030A0"/>
        </patternFill>
      </fill>
    </dxf>
    <dxf>
      <font>
        <color rgb="FFC00000"/>
      </font>
      <fill>
        <patternFill patternType="solid">
          <bgColor rgb="FFC8D7DF"/>
        </patternFill>
      </fill>
    </dxf>
    <dxf>
      <font>
        <color theme="0"/>
      </font>
      <fill>
        <patternFill patternType="solid">
          <bgColor rgb="FF7030A0"/>
        </patternFill>
      </fill>
    </dxf>
    <dxf>
      <fill>
        <patternFill patternType="solid">
          <bgColor theme="0" tint="-0.499984740745262"/>
        </patternFill>
      </fill>
    </dxf>
    <dxf>
      <border>
        <left style="thin">
          <color rgb="FFFFB81C"/>
        </left>
        <right style="thin">
          <color rgb="FFFFB81C"/>
        </right>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A0D2"/>
      <color rgb="FFEFEEDE"/>
      <color rgb="FFD9E7DC"/>
      <color rgb="FFC8D7DF"/>
      <color rgb="FFFFB81C"/>
      <color rgb="FFC110A0"/>
      <color rgb="FFCC00CC"/>
      <color rgb="FFDDD0CF"/>
      <color rgb="FFFFCCCC"/>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4</xdr:col>
      <xdr:colOff>1816618</xdr:colOff>
      <xdr:row>10</xdr:row>
      <xdr:rowOff>440686</xdr:rowOff>
    </xdr:from>
    <xdr:to>
      <xdr:col>11</xdr:col>
      <xdr:colOff>408974</xdr:colOff>
      <xdr:row>12</xdr:row>
      <xdr:rowOff>590473</xdr:rowOff>
    </xdr:to>
    <xdr:sp macro="" textlink="">
      <xdr:nvSpPr>
        <xdr:cNvPr id="8236" name="Text Box 44" hidden="1">
          <a:extLst>
            <a:ext uri="{FF2B5EF4-FFF2-40B4-BE49-F238E27FC236}">
              <a16:creationId xmlns:a16="http://schemas.microsoft.com/office/drawing/2014/main" id="{00000000-0008-0000-0100-00002C200000}"/>
            </a:ext>
          </a:extLst>
        </xdr:cNvPr>
        <xdr:cNvSpPr txBox="1">
          <a:spLocks noChangeArrowheads="1"/>
        </xdr:cNvSpPr>
      </xdr:nvSpPr>
      <xdr:spPr>
        <a:xfrm>
          <a:off x="5175250" y="1379855"/>
          <a:ext cx="3533140" cy="1096010"/>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58615"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BBB8-E451-4682-9BE0-033B649ECD87}">
  <dimension ref="A1:C19"/>
  <sheetViews>
    <sheetView topLeftCell="A7" workbookViewId="0">
      <selection activeCell="C9" sqref="C9"/>
    </sheetView>
  </sheetViews>
  <sheetFormatPr defaultRowHeight="14" x14ac:dyDescent="0.25"/>
  <cols>
    <col min="1" max="1" width="8.7265625" style="135"/>
    <col min="2" max="2" width="11.7265625" style="135" bestFit="1" customWidth="1"/>
    <col min="3" max="3" width="47" style="135" bestFit="1" customWidth="1"/>
    <col min="4" max="16384" width="8.7265625" style="135"/>
  </cols>
  <sheetData>
    <row r="1" spans="1:3" x14ac:dyDescent="0.25">
      <c r="A1" s="134" t="s">
        <v>244</v>
      </c>
      <c r="B1" s="134" t="s">
        <v>245</v>
      </c>
      <c r="C1" s="134" t="s">
        <v>246</v>
      </c>
    </row>
    <row r="2" spans="1:3" x14ac:dyDescent="0.25">
      <c r="A2" s="135">
        <v>1</v>
      </c>
      <c r="B2" s="135">
        <v>202510045</v>
      </c>
      <c r="C2" s="135" t="s">
        <v>77</v>
      </c>
    </row>
    <row r="3" spans="1:3" x14ac:dyDescent="0.25">
      <c r="A3" s="135">
        <v>2</v>
      </c>
      <c r="B3" s="135">
        <v>202510072</v>
      </c>
      <c r="C3" s="135" t="s">
        <v>91</v>
      </c>
    </row>
    <row r="4" spans="1:3" x14ac:dyDescent="0.25">
      <c r="A4" s="135">
        <v>3</v>
      </c>
      <c r="B4" s="135">
        <v>202510082</v>
      </c>
      <c r="C4" s="135" t="s">
        <v>96</v>
      </c>
    </row>
    <row r="5" spans="1:3" x14ac:dyDescent="0.25">
      <c r="A5" s="135">
        <v>4</v>
      </c>
      <c r="B5" s="135">
        <v>202510117</v>
      </c>
      <c r="C5" s="135" t="s">
        <v>100</v>
      </c>
    </row>
    <row r="6" spans="1:3" x14ac:dyDescent="0.25">
      <c r="A6" s="135">
        <v>5</v>
      </c>
      <c r="B6" s="135">
        <v>202510113</v>
      </c>
      <c r="C6" s="135" t="s">
        <v>104</v>
      </c>
    </row>
    <row r="7" spans="1:3" x14ac:dyDescent="0.25">
      <c r="A7" s="135">
        <v>6</v>
      </c>
      <c r="B7" s="135">
        <v>202507014</v>
      </c>
      <c r="C7" s="135" t="s">
        <v>108</v>
      </c>
    </row>
    <row r="8" spans="1:3" x14ac:dyDescent="0.25">
      <c r="A8" s="135">
        <v>7</v>
      </c>
      <c r="B8" s="135">
        <v>202510066</v>
      </c>
      <c r="C8" s="135" t="s">
        <v>112</v>
      </c>
    </row>
    <row r="9" spans="1:3" x14ac:dyDescent="0.25">
      <c r="A9" s="135">
        <v>8</v>
      </c>
      <c r="B9" s="135">
        <v>202510073</v>
      </c>
      <c r="C9" s="135" t="s">
        <v>115</v>
      </c>
    </row>
    <row r="10" spans="1:3" x14ac:dyDescent="0.25">
      <c r="A10" s="135">
        <v>9</v>
      </c>
      <c r="B10" s="135">
        <v>202510042</v>
      </c>
      <c r="C10" s="135" t="s">
        <v>119</v>
      </c>
    </row>
    <row r="11" spans="1:3" x14ac:dyDescent="0.25">
      <c r="A11" s="135">
        <v>10</v>
      </c>
      <c r="B11" s="135">
        <v>202511035</v>
      </c>
      <c r="C11" s="135" t="s">
        <v>182</v>
      </c>
    </row>
    <row r="12" spans="1:3" x14ac:dyDescent="0.25">
      <c r="A12" s="135">
        <v>11</v>
      </c>
      <c r="B12" s="135">
        <v>202510065</v>
      </c>
      <c r="C12" s="135" t="s">
        <v>225</v>
      </c>
    </row>
    <row r="13" spans="1:3" x14ac:dyDescent="0.25">
      <c r="A13" s="135">
        <v>12</v>
      </c>
      <c r="B13" s="135">
        <v>202510064</v>
      </c>
      <c r="C13" s="135" t="s">
        <v>230</v>
      </c>
    </row>
    <row r="14" spans="1:3" x14ac:dyDescent="0.25">
      <c r="A14" s="135">
        <v>13</v>
      </c>
      <c r="B14" s="135">
        <v>202510099</v>
      </c>
      <c r="C14" s="135" t="s">
        <v>234</v>
      </c>
    </row>
    <row r="15" spans="1:3" x14ac:dyDescent="0.25">
      <c r="A15" s="135">
        <v>14</v>
      </c>
      <c r="B15" s="135">
        <v>202511063</v>
      </c>
      <c r="C15" s="135" t="s">
        <v>247</v>
      </c>
    </row>
    <row r="16" spans="1:3" x14ac:dyDescent="0.25">
      <c r="A16" s="135">
        <v>15</v>
      </c>
      <c r="B16">
        <v>202504072</v>
      </c>
      <c r="C16" t="s">
        <v>191</v>
      </c>
    </row>
    <row r="17" spans="1:3" x14ac:dyDescent="0.25">
      <c r="A17" s="135">
        <v>16</v>
      </c>
      <c r="B17">
        <v>202511064</v>
      </c>
      <c r="C17" t="s">
        <v>258</v>
      </c>
    </row>
    <row r="18" spans="1:3" x14ac:dyDescent="0.25">
      <c r="A18" s="135">
        <v>17</v>
      </c>
      <c r="B18" s="154">
        <v>202511028</v>
      </c>
      <c r="C18" s="135" t="s">
        <v>274</v>
      </c>
    </row>
    <row r="19" spans="1:3" x14ac:dyDescent="0.25">
      <c r="A19" s="135">
        <v>18</v>
      </c>
      <c r="B19" s="154">
        <v>20251102901</v>
      </c>
      <c r="C19" s="135" t="s">
        <v>276</v>
      </c>
    </row>
  </sheetData>
  <phoneticPr fontId="15" type="noConversion"/>
  <conditionalFormatting sqref="B2:B10">
    <cfRule type="duplicateValues" dxfId="52" priority="2"/>
  </conditionalFormatting>
  <conditionalFormatting sqref="B2:B11">
    <cfRule type="duplicateValues" dxfId="51" priority="5746"/>
  </conditionalFormatting>
  <conditionalFormatting sqref="C2:C10">
    <cfRule type="duplicateValues" dxfId="50" priority="1"/>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2"/>
  <sheetViews>
    <sheetView topLeftCell="A4" workbookViewId="0">
      <selection activeCell="A21" sqref="A21:A22"/>
    </sheetView>
  </sheetViews>
  <sheetFormatPr defaultRowHeight="12.5" x14ac:dyDescent="0.25"/>
  <cols>
    <col min="1" max="1" width="12.453125" bestFit="1" customWidth="1"/>
    <col min="2" max="2" width="42.453125" bestFit="1" customWidth="1"/>
    <col min="9" max="9" width="10.36328125" bestFit="1" customWidth="1"/>
    <col min="11" max="11" width="49.6328125" bestFit="1" customWidth="1"/>
    <col min="15" max="15" width="12.453125" bestFit="1" customWidth="1"/>
    <col min="17" max="17" width="16.36328125" bestFit="1" customWidth="1"/>
  </cols>
  <sheetData>
    <row r="1" spans="1:36" x14ac:dyDescent="0.25">
      <c r="A1">
        <f>COLUMN()</f>
        <v>1</v>
      </c>
      <c r="B1">
        <f>COLUMN()</f>
        <v>2</v>
      </c>
      <c r="C1">
        <f>COLUMN()</f>
        <v>3</v>
      </c>
      <c r="D1">
        <f>COLUMN()</f>
        <v>4</v>
      </c>
      <c r="E1">
        <f>COLUMN()</f>
        <v>5</v>
      </c>
      <c r="F1">
        <f>COLUMN()</f>
        <v>6</v>
      </c>
      <c r="G1">
        <f>COLUMN()</f>
        <v>7</v>
      </c>
      <c r="H1">
        <f>COLUMN()</f>
        <v>8</v>
      </c>
      <c r="I1">
        <f>COLUMN()</f>
        <v>9</v>
      </c>
      <c r="J1">
        <f>COLUMN()</f>
        <v>10</v>
      </c>
      <c r="K1">
        <f>COLUMN()</f>
        <v>11</v>
      </c>
      <c r="L1">
        <f>COLUMN()</f>
        <v>12</v>
      </c>
      <c r="M1">
        <f>COLUMN()</f>
        <v>13</v>
      </c>
      <c r="N1">
        <f>COLUMN()</f>
        <v>14</v>
      </c>
      <c r="O1">
        <f>COLUMN()</f>
        <v>15</v>
      </c>
      <c r="P1">
        <f>COLUMN()</f>
        <v>16</v>
      </c>
      <c r="Q1">
        <f>COLUMN()</f>
        <v>17</v>
      </c>
      <c r="R1">
        <f>COLUMN()</f>
        <v>18</v>
      </c>
      <c r="S1">
        <f>COLUMN()</f>
        <v>19</v>
      </c>
      <c r="T1">
        <f>COLUMN()</f>
        <v>20</v>
      </c>
      <c r="U1">
        <f>COLUMN()</f>
        <v>21</v>
      </c>
      <c r="V1">
        <f>COLUMN()</f>
        <v>22</v>
      </c>
      <c r="W1">
        <f>COLUMN()</f>
        <v>23</v>
      </c>
      <c r="X1">
        <f>COLUMN()</f>
        <v>24</v>
      </c>
      <c r="Y1">
        <f>COLUMN()</f>
        <v>25</v>
      </c>
      <c r="Z1">
        <f>COLUMN()</f>
        <v>26</v>
      </c>
      <c r="AA1">
        <f>COLUMN()</f>
        <v>27</v>
      </c>
      <c r="AB1">
        <f>COLUMN()</f>
        <v>28</v>
      </c>
      <c r="AC1">
        <f>COLUMN()</f>
        <v>29</v>
      </c>
      <c r="AD1">
        <f>COLUMN()</f>
        <v>30</v>
      </c>
      <c r="AE1">
        <f>COLUMN()</f>
        <v>31</v>
      </c>
      <c r="AF1">
        <f>COLUMN()</f>
        <v>32</v>
      </c>
      <c r="AG1">
        <f>COLUMN()</f>
        <v>33</v>
      </c>
      <c r="AH1">
        <f>COLUMN()</f>
        <v>34</v>
      </c>
      <c r="AI1">
        <f>COLUMN()</f>
        <v>35</v>
      </c>
      <c r="AJ1">
        <f>COLUMN()</f>
        <v>36</v>
      </c>
    </row>
    <row r="2" spans="1:36" ht="14" x14ac:dyDescent="0.25">
      <c r="A2" s="125" t="s">
        <v>152</v>
      </c>
      <c r="B2" s="125" t="s">
        <v>151</v>
      </c>
      <c r="C2" s="125" t="s">
        <v>57</v>
      </c>
      <c r="D2" s="125" t="s">
        <v>58</v>
      </c>
      <c r="E2" s="125" t="s">
        <v>59</v>
      </c>
      <c r="F2" s="125" t="s">
        <v>60</v>
      </c>
      <c r="G2" s="125" t="s">
        <v>61</v>
      </c>
      <c r="H2" s="125" t="s">
        <v>62</v>
      </c>
      <c r="I2" s="125" t="s">
        <v>63</v>
      </c>
      <c r="J2" s="125" t="s">
        <v>64</v>
      </c>
      <c r="K2" s="125" t="s">
        <v>65</v>
      </c>
      <c r="L2" s="125" t="s">
        <v>66</v>
      </c>
      <c r="M2" s="125" t="s">
        <v>67</v>
      </c>
      <c r="N2" s="125" t="s">
        <v>162</v>
      </c>
      <c r="O2" s="125" t="s">
        <v>163</v>
      </c>
      <c r="P2" s="125" t="s">
        <v>68</v>
      </c>
      <c r="Q2" s="125" t="s">
        <v>69</v>
      </c>
      <c r="R2" s="125" t="s">
        <v>70</v>
      </c>
      <c r="S2" s="125" t="s">
        <v>71</v>
      </c>
      <c r="T2" s="125" t="s">
        <v>72</v>
      </c>
      <c r="U2" s="125" t="s">
        <v>73</v>
      </c>
      <c r="V2" s="125" t="s">
        <v>74</v>
      </c>
      <c r="W2" s="125" t="s">
        <v>75</v>
      </c>
      <c r="X2" s="125" t="s">
        <v>76</v>
      </c>
      <c r="Y2" s="125" t="s">
        <v>164</v>
      </c>
      <c r="Z2" s="125" t="s">
        <v>165</v>
      </c>
      <c r="AA2" s="125" t="s">
        <v>166</v>
      </c>
      <c r="AB2" s="125" t="s">
        <v>167</v>
      </c>
      <c r="AC2" s="125" t="s">
        <v>168</v>
      </c>
      <c r="AD2" s="125" t="s">
        <v>169</v>
      </c>
      <c r="AE2" s="125" t="s">
        <v>170</v>
      </c>
      <c r="AF2" s="125" t="s">
        <v>171</v>
      </c>
      <c r="AG2" s="125" t="s">
        <v>172</v>
      </c>
      <c r="AH2" s="125" t="s">
        <v>173</v>
      </c>
      <c r="AI2" s="125" t="s">
        <v>174</v>
      </c>
      <c r="AJ2" s="125" t="s">
        <v>175</v>
      </c>
    </row>
    <row r="3" spans="1:36" x14ac:dyDescent="0.25">
      <c r="A3">
        <v>202510045</v>
      </c>
      <c r="B3" t="s">
        <v>77</v>
      </c>
      <c r="C3" t="s">
        <v>78</v>
      </c>
      <c r="D3" t="s">
        <v>79</v>
      </c>
      <c r="E3" t="s">
        <v>80</v>
      </c>
      <c r="F3" t="s">
        <v>81</v>
      </c>
      <c r="G3" t="s">
        <v>79</v>
      </c>
      <c r="H3" t="s">
        <v>82</v>
      </c>
      <c r="I3" s="126">
        <v>45973</v>
      </c>
      <c r="J3" t="s">
        <v>83</v>
      </c>
      <c r="K3" t="s">
        <v>84</v>
      </c>
      <c r="L3" t="s">
        <v>85</v>
      </c>
      <c r="M3" t="s">
        <v>86</v>
      </c>
      <c r="N3" t="s">
        <v>87</v>
      </c>
      <c r="O3">
        <v>17712207991</v>
      </c>
      <c r="P3" t="s">
        <v>176</v>
      </c>
      <c r="Q3">
        <v>13761126768</v>
      </c>
      <c r="T3" t="s">
        <v>88</v>
      </c>
      <c r="V3" t="s">
        <v>89</v>
      </c>
      <c r="W3" t="s">
        <v>160</v>
      </c>
      <c r="X3" t="s">
        <v>90</v>
      </c>
      <c r="Y3" t="s">
        <v>178</v>
      </c>
      <c r="Z3" t="s">
        <v>160</v>
      </c>
      <c r="AA3" t="s">
        <v>178</v>
      </c>
      <c r="AB3" t="s">
        <v>200</v>
      </c>
      <c r="AC3" t="s">
        <v>201</v>
      </c>
      <c r="AE3" t="s">
        <v>202</v>
      </c>
      <c r="AG3" t="s">
        <v>203</v>
      </c>
      <c r="AJ3" t="s">
        <v>178</v>
      </c>
    </row>
    <row r="4" spans="1:36" x14ac:dyDescent="0.25">
      <c r="A4">
        <v>202510072</v>
      </c>
      <c r="B4" t="s">
        <v>91</v>
      </c>
      <c r="C4" t="s">
        <v>78</v>
      </c>
      <c r="D4" t="s">
        <v>79</v>
      </c>
      <c r="E4" t="s">
        <v>80</v>
      </c>
      <c r="F4" t="s">
        <v>81</v>
      </c>
      <c r="G4" t="s">
        <v>79</v>
      </c>
      <c r="H4" t="s">
        <v>82</v>
      </c>
      <c r="I4" s="126">
        <v>45973</v>
      </c>
      <c r="J4" t="s">
        <v>83</v>
      </c>
      <c r="K4" t="s">
        <v>84</v>
      </c>
      <c r="L4" t="s">
        <v>92</v>
      </c>
      <c r="M4" t="s">
        <v>93</v>
      </c>
      <c r="N4" t="s">
        <v>94</v>
      </c>
      <c r="O4">
        <v>18019381182</v>
      </c>
      <c r="P4" t="s">
        <v>179</v>
      </c>
      <c r="Q4">
        <v>13917571535</v>
      </c>
      <c r="T4" t="s">
        <v>88</v>
      </c>
      <c r="V4" t="s">
        <v>95</v>
      </c>
      <c r="W4" t="s">
        <v>160</v>
      </c>
      <c r="X4" t="s">
        <v>90</v>
      </c>
      <c r="Y4" t="s">
        <v>178</v>
      </c>
      <c r="Z4" t="s">
        <v>178</v>
      </c>
      <c r="AA4" t="s">
        <v>178</v>
      </c>
      <c r="AB4" t="s">
        <v>200</v>
      </c>
      <c r="AC4" t="s">
        <v>204</v>
      </c>
      <c r="AE4" t="s">
        <v>202</v>
      </c>
      <c r="AG4" t="s">
        <v>203</v>
      </c>
      <c r="AJ4" t="s">
        <v>178</v>
      </c>
    </row>
    <row r="5" spans="1:36" x14ac:dyDescent="0.25">
      <c r="A5">
        <v>202510082</v>
      </c>
      <c r="B5" t="s">
        <v>96</v>
      </c>
      <c r="C5" t="s">
        <v>78</v>
      </c>
      <c r="D5" t="s">
        <v>79</v>
      </c>
      <c r="E5" t="s">
        <v>80</v>
      </c>
      <c r="F5" t="s">
        <v>81</v>
      </c>
      <c r="G5" t="s">
        <v>79</v>
      </c>
      <c r="H5" t="s">
        <v>82</v>
      </c>
      <c r="I5" s="126">
        <v>45973</v>
      </c>
      <c r="J5" t="s">
        <v>83</v>
      </c>
      <c r="K5" t="s">
        <v>84</v>
      </c>
      <c r="L5" t="s">
        <v>97</v>
      </c>
      <c r="M5" t="s">
        <v>98</v>
      </c>
      <c r="N5" t="s">
        <v>94</v>
      </c>
      <c r="O5">
        <v>18019381182</v>
      </c>
      <c r="P5" t="s">
        <v>180</v>
      </c>
      <c r="Q5">
        <v>13818171068</v>
      </c>
      <c r="T5" t="s">
        <v>88</v>
      </c>
      <c r="V5" t="s">
        <v>99</v>
      </c>
      <c r="W5" t="s">
        <v>160</v>
      </c>
      <c r="X5" t="s">
        <v>90</v>
      </c>
      <c r="Y5" t="s">
        <v>178</v>
      </c>
      <c r="Z5" t="s">
        <v>178</v>
      </c>
      <c r="AA5" t="s">
        <v>178</v>
      </c>
      <c r="AB5" t="s">
        <v>200</v>
      </c>
      <c r="AC5" t="s">
        <v>204</v>
      </c>
      <c r="AE5" t="s">
        <v>202</v>
      </c>
      <c r="AG5" t="s">
        <v>203</v>
      </c>
      <c r="AJ5" t="s">
        <v>178</v>
      </c>
    </row>
    <row r="6" spans="1:36" x14ac:dyDescent="0.25">
      <c r="A6">
        <v>202510117</v>
      </c>
      <c r="B6" t="s">
        <v>100</v>
      </c>
      <c r="C6" t="s">
        <v>78</v>
      </c>
      <c r="D6" t="s">
        <v>79</v>
      </c>
      <c r="E6" t="s">
        <v>80</v>
      </c>
      <c r="F6" t="s">
        <v>81</v>
      </c>
      <c r="G6" t="s">
        <v>79</v>
      </c>
      <c r="H6" t="s">
        <v>82</v>
      </c>
      <c r="I6" s="126">
        <v>45973</v>
      </c>
      <c r="J6" t="s">
        <v>83</v>
      </c>
      <c r="K6" t="s">
        <v>84</v>
      </c>
      <c r="L6" t="s">
        <v>101</v>
      </c>
      <c r="M6" t="s">
        <v>102</v>
      </c>
      <c r="N6" t="s">
        <v>87</v>
      </c>
      <c r="O6">
        <v>17712207991</v>
      </c>
      <c r="P6" t="s">
        <v>179</v>
      </c>
      <c r="Q6">
        <v>13917571535</v>
      </c>
      <c r="T6" t="s">
        <v>88</v>
      </c>
      <c r="V6" t="s">
        <v>103</v>
      </c>
      <c r="W6" t="s">
        <v>160</v>
      </c>
      <c r="X6" t="s">
        <v>90</v>
      </c>
      <c r="Y6" t="s">
        <v>178</v>
      </c>
      <c r="Z6" t="s">
        <v>178</v>
      </c>
      <c r="AA6" t="s">
        <v>178</v>
      </c>
      <c r="AB6" t="s">
        <v>200</v>
      </c>
      <c r="AC6" t="s">
        <v>204</v>
      </c>
      <c r="AE6" t="s">
        <v>205</v>
      </c>
      <c r="AG6" t="s">
        <v>203</v>
      </c>
      <c r="AJ6" t="s">
        <v>178</v>
      </c>
    </row>
    <row r="7" spans="1:36" x14ac:dyDescent="0.25">
      <c r="A7">
        <v>202510113</v>
      </c>
      <c r="B7" t="s">
        <v>104</v>
      </c>
      <c r="C7" t="s">
        <v>78</v>
      </c>
      <c r="D7" t="s">
        <v>79</v>
      </c>
      <c r="E7" t="s">
        <v>80</v>
      </c>
      <c r="F7" t="s">
        <v>81</v>
      </c>
      <c r="G7" t="s">
        <v>79</v>
      </c>
      <c r="H7" t="s">
        <v>82</v>
      </c>
      <c r="I7" s="126">
        <v>45973</v>
      </c>
      <c r="J7" t="s">
        <v>83</v>
      </c>
      <c r="K7" t="s">
        <v>84</v>
      </c>
      <c r="L7" t="s">
        <v>105</v>
      </c>
      <c r="M7" t="s">
        <v>106</v>
      </c>
      <c r="N7" t="s">
        <v>94</v>
      </c>
      <c r="O7">
        <v>18019381182</v>
      </c>
      <c r="P7" t="s">
        <v>179</v>
      </c>
      <c r="Q7">
        <v>13917571535</v>
      </c>
      <c r="T7" t="s">
        <v>88</v>
      </c>
      <c r="V7" t="s">
        <v>107</v>
      </c>
      <c r="W7" t="s">
        <v>160</v>
      </c>
      <c r="X7" t="s">
        <v>90</v>
      </c>
      <c r="Y7" t="s">
        <v>178</v>
      </c>
      <c r="Z7" t="s">
        <v>178</v>
      </c>
      <c r="AA7" t="s">
        <v>178</v>
      </c>
      <c r="AB7" t="s">
        <v>200</v>
      </c>
      <c r="AC7" t="s">
        <v>204</v>
      </c>
      <c r="AE7" t="s">
        <v>202</v>
      </c>
      <c r="AG7" t="s">
        <v>203</v>
      </c>
      <c r="AJ7" t="s">
        <v>178</v>
      </c>
    </row>
    <row r="8" spans="1:36" x14ac:dyDescent="0.25">
      <c r="A8">
        <v>202507014</v>
      </c>
      <c r="B8" t="s">
        <v>108</v>
      </c>
      <c r="C8" t="s">
        <v>78</v>
      </c>
      <c r="D8" t="s">
        <v>79</v>
      </c>
      <c r="E8" t="s">
        <v>80</v>
      </c>
      <c r="F8" t="s">
        <v>81</v>
      </c>
      <c r="G8" t="s">
        <v>79</v>
      </c>
      <c r="H8" t="s">
        <v>82</v>
      </c>
      <c r="I8" s="126">
        <v>45973</v>
      </c>
      <c r="J8" t="s">
        <v>83</v>
      </c>
      <c r="K8" t="s">
        <v>84</v>
      </c>
      <c r="L8" t="s">
        <v>109</v>
      </c>
      <c r="M8" t="s">
        <v>110</v>
      </c>
      <c r="N8" t="s">
        <v>94</v>
      </c>
      <c r="O8">
        <v>18019381182</v>
      </c>
      <c r="P8" t="s">
        <v>179</v>
      </c>
      <c r="Q8">
        <v>13917571535</v>
      </c>
      <c r="T8" t="s">
        <v>88</v>
      </c>
      <c r="V8" t="s">
        <v>111</v>
      </c>
      <c r="W8" t="s">
        <v>160</v>
      </c>
      <c r="X8" t="s">
        <v>90</v>
      </c>
      <c r="Y8" t="s">
        <v>178</v>
      </c>
      <c r="Z8" t="s">
        <v>178</v>
      </c>
      <c r="AA8" t="s">
        <v>178</v>
      </c>
      <c r="AB8" t="s">
        <v>200</v>
      </c>
      <c r="AC8" t="s">
        <v>204</v>
      </c>
      <c r="AE8" t="s">
        <v>202</v>
      </c>
      <c r="AG8" t="s">
        <v>203</v>
      </c>
      <c r="AJ8" t="s">
        <v>178</v>
      </c>
    </row>
    <row r="9" spans="1:36" x14ac:dyDescent="0.25">
      <c r="A9">
        <v>202510066</v>
      </c>
      <c r="B9" t="s">
        <v>112</v>
      </c>
      <c r="C9" t="s">
        <v>78</v>
      </c>
      <c r="D9" t="s">
        <v>79</v>
      </c>
      <c r="E9" t="s">
        <v>80</v>
      </c>
      <c r="F9" t="s">
        <v>81</v>
      </c>
      <c r="G9" t="s">
        <v>79</v>
      </c>
      <c r="H9" t="s">
        <v>82</v>
      </c>
      <c r="I9" s="126">
        <v>45974</v>
      </c>
      <c r="J9" t="s">
        <v>83</v>
      </c>
      <c r="K9" t="s">
        <v>84</v>
      </c>
      <c r="L9" t="s">
        <v>113</v>
      </c>
      <c r="M9" t="s">
        <v>102</v>
      </c>
      <c r="N9" t="s">
        <v>87</v>
      </c>
      <c r="O9">
        <v>18019381182</v>
      </c>
      <c r="P9" t="s">
        <v>179</v>
      </c>
      <c r="Q9">
        <v>13917571535</v>
      </c>
      <c r="T9" t="s">
        <v>88</v>
      </c>
      <c r="V9" t="s">
        <v>114</v>
      </c>
      <c r="W9" t="s">
        <v>160</v>
      </c>
      <c r="X9" t="s">
        <v>90</v>
      </c>
      <c r="Y9" t="s">
        <v>178</v>
      </c>
      <c r="Z9" t="s">
        <v>178</v>
      </c>
      <c r="AA9" t="s">
        <v>178</v>
      </c>
      <c r="AB9" t="s">
        <v>200</v>
      </c>
      <c r="AC9" t="s">
        <v>204</v>
      </c>
      <c r="AE9" t="s">
        <v>202</v>
      </c>
      <c r="AG9" t="s">
        <v>203</v>
      </c>
      <c r="AJ9" t="s">
        <v>178</v>
      </c>
    </row>
    <row r="10" spans="1:36" x14ac:dyDescent="0.25">
      <c r="A10">
        <v>202510073</v>
      </c>
      <c r="B10" t="s">
        <v>115</v>
      </c>
      <c r="C10" t="s">
        <v>78</v>
      </c>
      <c r="D10" t="s">
        <v>79</v>
      </c>
      <c r="F10" t="s">
        <v>81</v>
      </c>
      <c r="G10" t="s">
        <v>79</v>
      </c>
      <c r="H10" t="s">
        <v>82</v>
      </c>
      <c r="I10" s="126">
        <v>45974</v>
      </c>
      <c r="K10" t="s">
        <v>84</v>
      </c>
      <c r="L10" t="s">
        <v>116</v>
      </c>
      <c r="M10" t="s">
        <v>117</v>
      </c>
      <c r="N10" t="s">
        <v>94</v>
      </c>
      <c r="O10">
        <v>18019381182</v>
      </c>
      <c r="P10" t="s">
        <v>179</v>
      </c>
      <c r="Q10">
        <v>13917571535</v>
      </c>
      <c r="T10" t="s">
        <v>88</v>
      </c>
      <c r="V10" t="s">
        <v>118</v>
      </c>
      <c r="W10" t="s">
        <v>160</v>
      </c>
      <c r="X10" t="s">
        <v>90</v>
      </c>
      <c r="Y10" t="s">
        <v>177</v>
      </c>
      <c r="Z10" t="s">
        <v>160</v>
      </c>
      <c r="AA10" t="s">
        <v>178</v>
      </c>
      <c r="AG10" t="s">
        <v>203</v>
      </c>
      <c r="AJ10" t="s">
        <v>178</v>
      </c>
    </row>
    <row r="11" spans="1:36" x14ac:dyDescent="0.25">
      <c r="A11">
        <v>202510042</v>
      </c>
      <c r="B11" t="s">
        <v>119</v>
      </c>
      <c r="C11" t="s">
        <v>78</v>
      </c>
      <c r="D11" t="s">
        <v>79</v>
      </c>
      <c r="E11" t="s">
        <v>80</v>
      </c>
      <c r="F11" t="s">
        <v>81</v>
      </c>
      <c r="G11" t="s">
        <v>79</v>
      </c>
      <c r="H11" t="s">
        <v>82</v>
      </c>
      <c r="I11" s="126">
        <v>45974</v>
      </c>
      <c r="J11" t="s">
        <v>83</v>
      </c>
      <c r="K11" t="s">
        <v>84</v>
      </c>
      <c r="L11" t="s">
        <v>120</v>
      </c>
      <c r="M11" t="s">
        <v>121</v>
      </c>
      <c r="N11" t="s">
        <v>87</v>
      </c>
      <c r="O11">
        <v>17712207991</v>
      </c>
      <c r="P11" t="s">
        <v>181</v>
      </c>
      <c r="Q11">
        <v>13301751182</v>
      </c>
      <c r="T11" t="s">
        <v>88</v>
      </c>
      <c r="V11" t="s">
        <v>122</v>
      </c>
      <c r="W11" t="s">
        <v>160</v>
      </c>
      <c r="X11" t="s">
        <v>90</v>
      </c>
      <c r="Y11" t="s">
        <v>178</v>
      </c>
      <c r="Z11" t="s">
        <v>178</v>
      </c>
      <c r="AA11" t="s">
        <v>178</v>
      </c>
      <c r="AB11" t="s">
        <v>200</v>
      </c>
      <c r="AC11" t="s">
        <v>204</v>
      </c>
      <c r="AE11" t="s">
        <v>202</v>
      </c>
      <c r="AG11" t="s">
        <v>203</v>
      </c>
      <c r="AJ11" t="s">
        <v>178</v>
      </c>
    </row>
    <row r="12" spans="1:36" x14ac:dyDescent="0.25">
      <c r="A12">
        <v>202511035</v>
      </c>
      <c r="B12" t="s">
        <v>182</v>
      </c>
      <c r="C12" t="s">
        <v>78</v>
      </c>
      <c r="D12" t="s">
        <v>79</v>
      </c>
      <c r="E12" t="s">
        <v>80</v>
      </c>
      <c r="F12" t="s">
        <v>81</v>
      </c>
      <c r="G12" t="s">
        <v>79</v>
      </c>
      <c r="H12" t="s">
        <v>82</v>
      </c>
      <c r="I12" s="126">
        <v>45975</v>
      </c>
      <c r="J12" t="s">
        <v>83</v>
      </c>
      <c r="K12" t="s">
        <v>184</v>
      </c>
      <c r="L12" t="s">
        <v>185</v>
      </c>
      <c r="M12" t="s">
        <v>186</v>
      </c>
      <c r="N12" t="s">
        <v>183</v>
      </c>
      <c r="O12">
        <v>13817483399</v>
      </c>
      <c r="P12" t="s">
        <v>187</v>
      </c>
      <c r="Q12">
        <v>18017895955</v>
      </c>
      <c r="T12" t="s">
        <v>188</v>
      </c>
      <c r="V12" t="s">
        <v>189</v>
      </c>
      <c r="W12" t="s">
        <v>160</v>
      </c>
      <c r="X12" t="s">
        <v>190</v>
      </c>
      <c r="Y12" t="s">
        <v>178</v>
      </c>
      <c r="Z12" t="s">
        <v>178</v>
      </c>
      <c r="AA12" t="s">
        <v>178</v>
      </c>
      <c r="AB12" t="s">
        <v>222</v>
      </c>
      <c r="AC12" t="s">
        <v>204</v>
      </c>
      <c r="AE12" t="s">
        <v>205</v>
      </c>
      <c r="AF12" t="s">
        <v>223</v>
      </c>
      <c r="AG12" t="s">
        <v>203</v>
      </c>
      <c r="AJ12" t="s">
        <v>178</v>
      </c>
    </row>
    <row r="13" spans="1:36" x14ac:dyDescent="0.25">
      <c r="A13">
        <v>202507054</v>
      </c>
      <c r="B13" t="s">
        <v>191</v>
      </c>
      <c r="C13" t="s">
        <v>78</v>
      </c>
      <c r="D13" t="s">
        <v>79</v>
      </c>
      <c r="F13" t="s">
        <v>81</v>
      </c>
      <c r="G13" t="s">
        <v>79</v>
      </c>
      <c r="H13" t="s">
        <v>82</v>
      </c>
      <c r="I13" s="126">
        <v>45975</v>
      </c>
      <c r="K13" t="s">
        <v>193</v>
      </c>
      <c r="L13" t="s">
        <v>194</v>
      </c>
      <c r="M13" t="s">
        <v>195</v>
      </c>
      <c r="N13" t="s">
        <v>192</v>
      </c>
      <c r="O13">
        <v>18321669860</v>
      </c>
      <c r="P13" t="s">
        <v>196</v>
      </c>
      <c r="Q13">
        <v>13524486213</v>
      </c>
      <c r="T13" t="s">
        <v>197</v>
      </c>
      <c r="V13" t="s">
        <v>198</v>
      </c>
      <c r="W13" t="s">
        <v>160</v>
      </c>
      <c r="X13" t="s">
        <v>199</v>
      </c>
      <c r="Y13" t="s">
        <v>177</v>
      </c>
      <c r="Z13" t="s">
        <v>160</v>
      </c>
      <c r="AA13" t="s">
        <v>178</v>
      </c>
      <c r="AG13" t="s">
        <v>203</v>
      </c>
      <c r="AJ13" t="s">
        <v>178</v>
      </c>
    </row>
    <row r="14" spans="1:36" x14ac:dyDescent="0.25">
      <c r="A14">
        <v>202510065</v>
      </c>
      <c r="B14" t="s">
        <v>225</v>
      </c>
      <c r="C14" t="s">
        <v>78</v>
      </c>
      <c r="D14" t="s">
        <v>79</v>
      </c>
      <c r="E14" t="s">
        <v>80</v>
      </c>
      <c r="F14" t="s">
        <v>81</v>
      </c>
      <c r="G14" t="s">
        <v>79</v>
      </c>
      <c r="H14" t="s">
        <v>82</v>
      </c>
      <c r="I14" s="126">
        <v>45979</v>
      </c>
      <c r="J14" t="s">
        <v>83</v>
      </c>
      <c r="K14" t="s">
        <v>84</v>
      </c>
      <c r="L14" t="s">
        <v>226</v>
      </c>
      <c r="M14" t="s">
        <v>227</v>
      </c>
      <c r="N14" t="s">
        <v>87</v>
      </c>
      <c r="O14">
        <v>17712207991</v>
      </c>
      <c r="P14" t="s">
        <v>179</v>
      </c>
      <c r="Q14">
        <v>13917571535</v>
      </c>
      <c r="T14" t="s">
        <v>88</v>
      </c>
      <c r="V14" t="s">
        <v>228</v>
      </c>
      <c r="W14" t="s">
        <v>160</v>
      </c>
      <c r="X14" t="s">
        <v>229</v>
      </c>
      <c r="Y14" t="s">
        <v>178</v>
      </c>
      <c r="Z14" t="s">
        <v>178</v>
      </c>
      <c r="AA14" t="s">
        <v>178</v>
      </c>
      <c r="AB14" t="s">
        <v>200</v>
      </c>
      <c r="AC14" t="s">
        <v>204</v>
      </c>
      <c r="AD14" t="s">
        <v>239</v>
      </c>
      <c r="AE14" t="s">
        <v>240</v>
      </c>
      <c r="AG14" t="s">
        <v>203</v>
      </c>
      <c r="AJ14" t="s">
        <v>178</v>
      </c>
    </row>
    <row r="15" spans="1:36" x14ac:dyDescent="0.25">
      <c r="A15">
        <v>202510064</v>
      </c>
      <c r="B15" t="s">
        <v>230</v>
      </c>
      <c r="C15" t="s">
        <v>78</v>
      </c>
      <c r="D15" t="s">
        <v>79</v>
      </c>
      <c r="E15" t="s">
        <v>80</v>
      </c>
      <c r="F15" t="s">
        <v>81</v>
      </c>
      <c r="G15" t="s">
        <v>79</v>
      </c>
      <c r="H15" t="s">
        <v>82</v>
      </c>
      <c r="I15" s="126">
        <v>45979</v>
      </c>
      <c r="J15" t="s">
        <v>83</v>
      </c>
      <c r="K15" t="s">
        <v>84</v>
      </c>
      <c r="L15" t="s">
        <v>231</v>
      </c>
      <c r="M15" t="s">
        <v>232</v>
      </c>
      <c r="N15" t="s">
        <v>87</v>
      </c>
      <c r="O15">
        <v>17712207991</v>
      </c>
      <c r="P15" t="s">
        <v>179</v>
      </c>
      <c r="Q15">
        <v>13917571535</v>
      </c>
      <c r="T15" t="s">
        <v>88</v>
      </c>
      <c r="V15" t="s">
        <v>233</v>
      </c>
      <c r="W15" t="s">
        <v>160</v>
      </c>
      <c r="X15" t="s">
        <v>229</v>
      </c>
      <c r="Y15" t="s">
        <v>178</v>
      </c>
      <c r="Z15" t="s">
        <v>178</v>
      </c>
      <c r="AA15" t="s">
        <v>178</v>
      </c>
      <c r="AB15" t="s">
        <v>200</v>
      </c>
      <c r="AC15" t="s">
        <v>204</v>
      </c>
      <c r="AE15" t="s">
        <v>240</v>
      </c>
      <c r="AG15" t="s">
        <v>203</v>
      </c>
      <c r="AJ15" t="s">
        <v>178</v>
      </c>
    </row>
    <row r="16" spans="1:36" x14ac:dyDescent="0.25">
      <c r="A16">
        <v>202510099</v>
      </c>
      <c r="B16" t="s">
        <v>234</v>
      </c>
      <c r="C16" t="s">
        <v>78</v>
      </c>
      <c r="D16" t="s">
        <v>79</v>
      </c>
      <c r="E16" t="s">
        <v>80</v>
      </c>
      <c r="F16" t="s">
        <v>81</v>
      </c>
      <c r="G16" t="s">
        <v>79</v>
      </c>
      <c r="H16" t="s">
        <v>82</v>
      </c>
      <c r="I16" s="126">
        <v>45979</v>
      </c>
      <c r="J16" t="s">
        <v>83</v>
      </c>
      <c r="K16" t="s">
        <v>84</v>
      </c>
      <c r="L16" t="s">
        <v>231</v>
      </c>
      <c r="M16" t="s">
        <v>235</v>
      </c>
      <c r="N16" t="s">
        <v>87</v>
      </c>
      <c r="O16">
        <v>17712207991</v>
      </c>
      <c r="P16" t="s">
        <v>179</v>
      </c>
      <c r="Q16">
        <v>13917571535</v>
      </c>
      <c r="T16" t="s">
        <v>88</v>
      </c>
      <c r="V16" t="s">
        <v>236</v>
      </c>
      <c r="W16" t="s">
        <v>160</v>
      </c>
      <c r="X16" t="s">
        <v>229</v>
      </c>
      <c r="Y16" t="s">
        <v>178</v>
      </c>
      <c r="Z16" t="s">
        <v>177</v>
      </c>
      <c r="AA16" t="s">
        <v>177</v>
      </c>
      <c r="AB16" t="s">
        <v>200</v>
      </c>
      <c r="AC16" t="s">
        <v>204</v>
      </c>
      <c r="AE16" t="s">
        <v>240</v>
      </c>
      <c r="AG16" t="s">
        <v>203</v>
      </c>
      <c r="AJ16" t="s">
        <v>178</v>
      </c>
    </row>
    <row r="17" spans="1:36" x14ac:dyDescent="0.25">
      <c r="A17">
        <v>202511063</v>
      </c>
      <c r="B17" t="s">
        <v>247</v>
      </c>
      <c r="C17" t="s">
        <v>78</v>
      </c>
      <c r="D17" t="s">
        <v>79</v>
      </c>
      <c r="F17" t="s">
        <v>81</v>
      </c>
      <c r="G17" t="s">
        <v>79</v>
      </c>
      <c r="H17" t="s">
        <v>82</v>
      </c>
      <c r="I17" s="126">
        <v>45980</v>
      </c>
      <c r="K17" t="s">
        <v>248</v>
      </c>
      <c r="L17" t="s">
        <v>249</v>
      </c>
      <c r="M17" t="s">
        <v>250</v>
      </c>
      <c r="N17" t="s">
        <v>251</v>
      </c>
      <c r="O17">
        <v>13818690097</v>
      </c>
      <c r="P17" t="s">
        <v>252</v>
      </c>
      <c r="Q17">
        <v>13611802252</v>
      </c>
      <c r="T17" t="s">
        <v>88</v>
      </c>
      <c r="V17" t="s">
        <v>253</v>
      </c>
      <c r="W17" t="s">
        <v>160</v>
      </c>
      <c r="X17" t="s">
        <v>90</v>
      </c>
      <c r="Y17" t="s">
        <v>178</v>
      </c>
      <c r="Z17" t="s">
        <v>177</v>
      </c>
      <c r="AA17" t="s">
        <v>177</v>
      </c>
      <c r="AG17" t="s">
        <v>203</v>
      </c>
      <c r="AJ17" t="s">
        <v>178</v>
      </c>
    </row>
    <row r="18" spans="1:36" x14ac:dyDescent="0.25">
      <c r="A18">
        <v>202504072</v>
      </c>
      <c r="B18" t="s">
        <v>191</v>
      </c>
      <c r="C18" t="s">
        <v>78</v>
      </c>
      <c r="D18" t="s">
        <v>79</v>
      </c>
      <c r="E18" t="s">
        <v>80</v>
      </c>
      <c r="F18" t="s">
        <v>81</v>
      </c>
      <c r="G18" t="s">
        <v>79</v>
      </c>
      <c r="H18" t="s">
        <v>82</v>
      </c>
      <c r="I18" s="126">
        <v>45981</v>
      </c>
      <c r="J18" t="s">
        <v>259</v>
      </c>
      <c r="K18" t="s">
        <v>193</v>
      </c>
      <c r="L18" t="s">
        <v>194</v>
      </c>
      <c r="M18" t="s">
        <v>195</v>
      </c>
      <c r="N18" t="s">
        <v>192</v>
      </c>
      <c r="O18">
        <v>18321669860</v>
      </c>
      <c r="P18" t="s">
        <v>196</v>
      </c>
      <c r="Q18">
        <v>13524486213</v>
      </c>
      <c r="T18" t="s">
        <v>197</v>
      </c>
      <c r="V18" t="s">
        <v>260</v>
      </c>
      <c r="W18" t="s">
        <v>160</v>
      </c>
      <c r="X18" t="s">
        <v>199</v>
      </c>
      <c r="Y18" t="s">
        <v>178</v>
      </c>
      <c r="Z18" t="s">
        <v>178</v>
      </c>
      <c r="AA18" t="s">
        <v>178</v>
      </c>
      <c r="AB18" t="s">
        <v>261</v>
      </c>
      <c r="AC18" t="s">
        <v>204</v>
      </c>
      <c r="AE18" t="s">
        <v>202</v>
      </c>
      <c r="AF18" t="s">
        <v>223</v>
      </c>
      <c r="AG18" t="s">
        <v>203</v>
      </c>
      <c r="AJ18" t="s">
        <v>178</v>
      </c>
    </row>
    <row r="19" spans="1:36" x14ac:dyDescent="0.25">
      <c r="A19">
        <v>202511064</v>
      </c>
      <c r="B19" t="s">
        <v>258</v>
      </c>
      <c r="C19" t="s">
        <v>78</v>
      </c>
      <c r="D19" t="s">
        <v>79</v>
      </c>
      <c r="E19" t="s">
        <v>80</v>
      </c>
      <c r="F19" t="s">
        <v>81</v>
      </c>
      <c r="G19" t="s">
        <v>79</v>
      </c>
      <c r="H19" t="s">
        <v>82</v>
      </c>
      <c r="I19" s="126">
        <v>45981</v>
      </c>
      <c r="J19" t="s">
        <v>83</v>
      </c>
      <c r="K19" t="s">
        <v>262</v>
      </c>
      <c r="L19" t="s">
        <v>263</v>
      </c>
      <c r="M19" t="s">
        <v>264</v>
      </c>
      <c r="N19" t="s">
        <v>265</v>
      </c>
      <c r="O19">
        <v>13914387355</v>
      </c>
      <c r="P19" t="s">
        <v>266</v>
      </c>
      <c r="Q19">
        <v>13310025167</v>
      </c>
      <c r="T19" t="s">
        <v>88</v>
      </c>
      <c r="V19" t="s">
        <v>267</v>
      </c>
      <c r="W19" t="s">
        <v>160</v>
      </c>
      <c r="X19" t="s">
        <v>90</v>
      </c>
      <c r="Y19" t="s">
        <v>178</v>
      </c>
      <c r="Z19" t="s">
        <v>178</v>
      </c>
      <c r="AA19" t="s">
        <v>178</v>
      </c>
      <c r="AB19" t="s">
        <v>200</v>
      </c>
      <c r="AC19" t="s">
        <v>204</v>
      </c>
      <c r="AE19" t="s">
        <v>202</v>
      </c>
      <c r="AG19" t="s">
        <v>203</v>
      </c>
      <c r="AJ19" t="s">
        <v>178</v>
      </c>
    </row>
    <row r="20" spans="1:36" x14ac:dyDescent="0.25">
      <c r="A20">
        <v>202503068</v>
      </c>
      <c r="B20" t="s">
        <v>271</v>
      </c>
      <c r="C20" t="s">
        <v>78</v>
      </c>
      <c r="D20" t="s">
        <v>79</v>
      </c>
      <c r="F20" t="s">
        <v>272</v>
      </c>
      <c r="I20" s="126"/>
    </row>
    <row r="21" spans="1:36" x14ac:dyDescent="0.25">
      <c r="A21" s="155">
        <v>202511028</v>
      </c>
      <c r="B21" t="s">
        <v>274</v>
      </c>
      <c r="C21" t="s">
        <v>78</v>
      </c>
      <c r="D21" t="s">
        <v>79</v>
      </c>
      <c r="F21" t="s">
        <v>81</v>
      </c>
      <c r="G21" t="s">
        <v>79</v>
      </c>
      <c r="H21" t="s">
        <v>82</v>
      </c>
      <c r="I21" s="126">
        <v>45985</v>
      </c>
      <c r="K21" t="s">
        <v>277</v>
      </c>
      <c r="L21" t="s">
        <v>275</v>
      </c>
      <c r="M21" t="s">
        <v>278</v>
      </c>
      <c r="N21" t="s">
        <v>279</v>
      </c>
      <c r="O21" s="155">
        <v>13761587091</v>
      </c>
      <c r="P21" t="s">
        <v>280</v>
      </c>
      <c r="Q21" s="155">
        <v>13681608289</v>
      </c>
      <c r="T21" t="s">
        <v>88</v>
      </c>
      <c r="V21" t="s">
        <v>281</v>
      </c>
      <c r="W21" t="s">
        <v>160</v>
      </c>
      <c r="X21" t="s">
        <v>90</v>
      </c>
      <c r="Y21" t="s">
        <v>177</v>
      </c>
      <c r="Z21" t="s">
        <v>160</v>
      </c>
      <c r="AA21" t="s">
        <v>178</v>
      </c>
      <c r="AG21" t="s">
        <v>203</v>
      </c>
      <c r="AJ21" t="s">
        <v>178</v>
      </c>
    </row>
    <row r="22" spans="1:36" x14ac:dyDescent="0.25">
      <c r="A22" s="155">
        <v>20251102901</v>
      </c>
      <c r="B22" t="s">
        <v>276</v>
      </c>
      <c r="C22" t="s">
        <v>78</v>
      </c>
      <c r="D22" t="s">
        <v>79</v>
      </c>
      <c r="F22" t="s">
        <v>81</v>
      </c>
      <c r="G22" t="s">
        <v>79</v>
      </c>
      <c r="H22" t="s">
        <v>82</v>
      </c>
      <c r="I22" s="126">
        <v>45985</v>
      </c>
      <c r="K22" t="s">
        <v>277</v>
      </c>
      <c r="L22" t="s">
        <v>282</v>
      </c>
      <c r="M22" t="s">
        <v>283</v>
      </c>
      <c r="N22" t="s">
        <v>279</v>
      </c>
      <c r="O22" s="155">
        <v>13761587091</v>
      </c>
      <c r="P22" t="s">
        <v>280</v>
      </c>
      <c r="Q22" s="155">
        <v>13681608289</v>
      </c>
      <c r="T22" t="s">
        <v>88</v>
      </c>
      <c r="V22" t="s">
        <v>284</v>
      </c>
      <c r="W22" t="s">
        <v>160</v>
      </c>
      <c r="X22" t="s">
        <v>90</v>
      </c>
      <c r="Y22" t="s">
        <v>177</v>
      </c>
      <c r="Z22" t="s">
        <v>178</v>
      </c>
      <c r="AA22" t="s">
        <v>178</v>
      </c>
      <c r="AG22" t="s">
        <v>203</v>
      </c>
      <c r="AJ22" t="s">
        <v>178</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pageSetUpPr fitToPage="1"/>
  </sheetPr>
  <dimension ref="A1:GB64"/>
  <sheetViews>
    <sheetView tabSelected="1" topLeftCell="A6" workbookViewId="0">
      <pane xSplit="12" ySplit="4" topLeftCell="M19" activePane="bottomRight" state="frozen"/>
      <selection activeCell="A6" sqref="A6"/>
      <selection pane="topRight" activeCell="O6" sqref="O6"/>
      <selection pane="bottomLeft" activeCell="A10" sqref="A10"/>
      <selection pane="bottomRight" activeCell="L31" sqref="L31"/>
    </sheetView>
  </sheetViews>
  <sheetFormatPr defaultColWidth="0" defaultRowHeight="12.5" x14ac:dyDescent="0.25"/>
  <cols>
    <col min="1" max="1" width="5.453125" customWidth="1"/>
    <col min="2" max="2" width="12.453125" bestFit="1" customWidth="1"/>
    <col min="3" max="3" width="21.54296875" style="117" customWidth="1"/>
    <col min="4" max="4" width="8.6328125" style="117" customWidth="1"/>
    <col min="5" max="5" width="33.6328125" style="117" customWidth="1"/>
    <col min="6" max="6" width="6.08984375" customWidth="1"/>
    <col min="7" max="7" width="7.54296875" hidden="1" customWidth="1"/>
    <col min="8" max="8" width="7.26953125" customWidth="1"/>
    <col min="9" max="9" width="9.1796875" hidden="1" customWidth="1"/>
    <col min="10" max="11" width="11.81640625" bestFit="1" customWidth="1"/>
    <col min="12" max="12" width="32.36328125" style="111" customWidth="1"/>
    <col min="13" max="13" width="1.81640625" style="30" customWidth="1"/>
    <col min="14" max="76" width="2.453125" customWidth="1"/>
    <col min="77" max="111" width="2.453125" hidden="1" customWidth="1"/>
    <col min="112" max="112" width="1" hidden="1" customWidth="1"/>
    <col min="113" max="113" width="4.54296875" style="31" hidden="1" customWidth="1"/>
    <col min="114" max="114" width="9.1796875" hidden="1" customWidth="1"/>
    <col min="115" max="136" width="0" hidden="1" customWidth="1"/>
    <col min="137" max="171" width="2.453125" hidden="1" customWidth="1"/>
    <col min="172" max="172" width="1" hidden="1" customWidth="1"/>
    <col min="173" max="173" width="4.54296875" hidden="1" customWidth="1"/>
    <col min="174" max="174" width="9.1796875" hidden="1" customWidth="1"/>
    <col min="175" max="175" width="1" hidden="1" customWidth="1"/>
    <col min="176" max="184" width="4.54296875" hidden="1" customWidth="1"/>
    <col min="185" max="16384" width="9.1796875" hidden="1"/>
  </cols>
  <sheetData>
    <row r="1" spans="1:113" ht="21" hidden="1" x14ac:dyDescent="0.3">
      <c r="A1" s="121"/>
      <c r="B1" s="121"/>
      <c r="C1" s="121"/>
      <c r="D1" s="121"/>
      <c r="E1" s="121"/>
      <c r="F1" s="38"/>
      <c r="G1" s="38"/>
      <c r="H1" s="38"/>
      <c r="I1" s="38"/>
      <c r="J1" s="38"/>
      <c r="K1" s="38"/>
      <c r="L1" s="110"/>
      <c r="N1" s="146" t="str">
        <f>IF($G1=H$1,"t","")</f>
        <v>t</v>
      </c>
      <c r="O1" s="147"/>
      <c r="P1" s="147"/>
      <c r="Q1" s="54" t="s">
        <v>0</v>
      </c>
      <c r="R1" s="54"/>
      <c r="S1" s="54"/>
      <c r="T1" s="55"/>
      <c r="U1" s="55"/>
      <c r="V1" s="55"/>
      <c r="W1" s="80"/>
      <c r="X1" s="80"/>
      <c r="Y1" s="80"/>
      <c r="Z1" s="80"/>
      <c r="AA1" s="80"/>
      <c r="AB1" s="81"/>
      <c r="AC1" s="82"/>
      <c r="AD1" s="83"/>
      <c r="AE1" s="83"/>
      <c r="AF1" s="83"/>
      <c r="AG1" s="83"/>
      <c r="AH1" s="83"/>
    </row>
    <row r="2" spans="1:113" ht="21" hidden="1" x14ac:dyDescent="0.25">
      <c r="A2" s="121"/>
      <c r="B2" s="121"/>
      <c r="C2" s="121"/>
      <c r="D2" s="121"/>
      <c r="E2" s="121"/>
      <c r="F2" s="38"/>
      <c r="G2" s="38"/>
      <c r="H2" s="38"/>
      <c r="I2" s="38"/>
      <c r="J2" s="38"/>
      <c r="K2" s="38"/>
      <c r="N2" s="148" t="str">
        <f>IF($G2=H$1,"t","")</f>
        <v>t</v>
      </c>
      <c r="O2" s="149"/>
      <c r="P2" s="149"/>
      <c r="Q2" s="56" t="s">
        <v>1</v>
      </c>
      <c r="R2" s="56"/>
      <c r="S2" s="56"/>
      <c r="T2" s="57"/>
      <c r="U2" s="57"/>
      <c r="V2" s="57"/>
      <c r="W2" s="57"/>
      <c r="X2" s="57"/>
      <c r="Y2" s="57"/>
      <c r="Z2" s="57"/>
      <c r="AA2" s="57"/>
      <c r="AB2" s="83"/>
      <c r="AC2" s="84"/>
      <c r="AD2" s="83"/>
      <c r="AE2" s="83"/>
      <c r="AF2" s="83"/>
      <c r="AG2" s="83"/>
      <c r="AH2" s="83"/>
    </row>
    <row r="3" spans="1:113" ht="21" hidden="1" x14ac:dyDescent="0.25">
      <c r="A3" s="121"/>
      <c r="B3" s="121"/>
      <c r="C3" s="121"/>
      <c r="D3" s="121"/>
      <c r="E3" s="121"/>
      <c r="F3" s="38"/>
      <c r="G3" s="38"/>
      <c r="H3" s="38"/>
      <c r="I3" s="38"/>
      <c r="J3" s="38"/>
      <c r="K3" s="38"/>
      <c r="L3" s="112"/>
      <c r="N3" s="58"/>
      <c r="O3" s="59"/>
      <c r="P3" s="60"/>
      <c r="Q3" s="56" t="s">
        <v>2</v>
      </c>
      <c r="R3" s="56"/>
      <c r="S3" s="56"/>
      <c r="T3" s="57"/>
      <c r="U3" s="57"/>
      <c r="V3" s="57"/>
      <c r="W3" s="57"/>
      <c r="X3" s="57"/>
      <c r="Y3" s="57"/>
      <c r="Z3" s="57"/>
      <c r="AA3" s="57"/>
      <c r="AB3" s="83"/>
      <c r="AC3" s="84"/>
      <c r="AD3" s="83"/>
      <c r="AE3" s="83"/>
      <c r="AF3" s="83"/>
      <c r="AG3" s="83"/>
      <c r="AH3" s="83"/>
    </row>
    <row r="4" spans="1:113" ht="21" hidden="1" x14ac:dyDescent="0.3">
      <c r="A4" s="121"/>
      <c r="B4" s="121"/>
      <c r="C4" s="121"/>
      <c r="D4" s="121"/>
      <c r="E4" s="121"/>
      <c r="F4" s="38"/>
      <c r="G4" s="38"/>
      <c r="H4" s="38"/>
      <c r="I4" s="38"/>
      <c r="L4" s="110"/>
      <c r="N4" s="61"/>
      <c r="O4" s="62"/>
      <c r="P4" s="63"/>
      <c r="Q4" s="64" t="s">
        <v>3</v>
      </c>
      <c r="R4" s="64"/>
      <c r="S4" s="64"/>
      <c r="T4" s="65"/>
      <c r="U4" s="65"/>
      <c r="V4" s="65"/>
      <c r="W4" s="65"/>
      <c r="X4" s="65"/>
      <c r="Y4" s="65"/>
      <c r="Z4" s="65"/>
      <c r="AA4" s="65"/>
      <c r="AB4" s="85"/>
      <c r="AC4" s="86"/>
      <c r="BR4" s="87"/>
      <c r="BS4" s="87"/>
    </row>
    <row r="5" spans="1:113" ht="14" hidden="1" customHeight="1" x14ac:dyDescent="0.25">
      <c r="A5" s="150"/>
      <c r="B5" s="150"/>
      <c r="C5" s="150"/>
      <c r="D5" s="150"/>
      <c r="E5" s="150"/>
      <c r="F5" s="38"/>
      <c r="G5" s="38"/>
      <c r="H5" s="38"/>
      <c r="I5" s="38"/>
      <c r="N5" s="66"/>
      <c r="O5" s="66"/>
      <c r="P5" s="66"/>
      <c r="Q5" s="66"/>
      <c r="R5" s="66"/>
      <c r="S5" s="66"/>
      <c r="T5" s="66"/>
      <c r="U5" s="66"/>
      <c r="V5" s="66"/>
      <c r="W5" s="66"/>
      <c r="X5" s="66"/>
      <c r="Y5" s="66"/>
      <c r="Z5" s="66"/>
      <c r="AA5" s="66"/>
      <c r="AB5" s="66"/>
      <c r="AC5" s="66"/>
      <c r="AD5" s="66"/>
      <c r="AE5" s="66"/>
      <c r="AF5" s="66"/>
      <c r="BR5" s="87"/>
      <c r="BS5" s="87"/>
    </row>
    <row r="6" spans="1:113" ht="14.25" customHeight="1" x14ac:dyDescent="0.25">
      <c r="A6" s="32"/>
      <c r="B6" s="32"/>
      <c r="F6" s="38"/>
      <c r="G6" s="38"/>
      <c r="H6" s="38"/>
      <c r="I6" s="38"/>
      <c r="J6" s="39"/>
      <c r="K6" s="39"/>
      <c r="L6" s="113"/>
      <c r="N6" s="144" t="str">
        <f>"Week "&amp;(N8-(START-WEEKDAY(START,1)+2))/7+1</f>
        <v>Week 2</v>
      </c>
      <c r="O6" s="145"/>
      <c r="P6" s="145"/>
      <c r="Q6" s="145"/>
      <c r="R6" s="145"/>
      <c r="S6" s="145"/>
      <c r="T6" s="145"/>
      <c r="U6" s="144" t="str">
        <f>"Week "&amp;(U8-(START-WEEKDAY(START,1)+2))/7+1</f>
        <v>Week 3</v>
      </c>
      <c r="V6" s="145"/>
      <c r="W6" s="145"/>
      <c r="X6" s="145"/>
      <c r="Y6" s="145"/>
      <c r="Z6" s="145"/>
      <c r="AA6" s="145"/>
      <c r="AB6" s="144" t="str">
        <f>"Week "&amp;(AB8-(START-WEEKDAY(START,1)+2))/7+1</f>
        <v>Week 4</v>
      </c>
      <c r="AC6" s="145"/>
      <c r="AD6" s="145"/>
      <c r="AE6" s="145"/>
      <c r="AF6" s="145"/>
      <c r="AG6" s="145"/>
      <c r="AH6" s="145"/>
      <c r="AI6" s="144" t="str">
        <f>"Week "&amp;(AI8-(START-WEEKDAY(START,1)+2))/7+1</f>
        <v>Week 5</v>
      </c>
      <c r="AJ6" s="145"/>
      <c r="AK6" s="145"/>
      <c r="AL6" s="145"/>
      <c r="AM6" s="145"/>
      <c r="AN6" s="145"/>
      <c r="AO6" s="145"/>
      <c r="AP6" s="144" t="str">
        <f>"Week "&amp;(AP8-(START-WEEKDAY(START,1)+2))/7+1</f>
        <v>Week 6</v>
      </c>
      <c r="AQ6" s="145"/>
      <c r="AR6" s="145"/>
      <c r="AS6" s="145"/>
      <c r="AT6" s="145"/>
      <c r="AU6" s="145"/>
      <c r="AV6" s="145"/>
      <c r="AW6" s="144" t="str">
        <f>"Week "&amp;(AW8-(START-WEEKDAY(START,1)+2))/7+1</f>
        <v>Week 7</v>
      </c>
      <c r="AX6" s="145"/>
      <c r="AY6" s="145"/>
      <c r="AZ6" s="145"/>
      <c r="BA6" s="145"/>
      <c r="BB6" s="145"/>
      <c r="BC6" s="145"/>
      <c r="BD6" s="144" t="str">
        <f>"Week "&amp;(BD8-(START-WEEKDAY(START,1)+2))/7+1</f>
        <v>Week 8</v>
      </c>
      <c r="BE6" s="145"/>
      <c r="BF6" s="145"/>
      <c r="BG6" s="145"/>
      <c r="BH6" s="145"/>
      <c r="BI6" s="145"/>
      <c r="BJ6" s="145"/>
      <c r="BK6" s="144" t="str">
        <f>"Week "&amp;(BK8-(START-WEEKDAY(START,1)+2))/7+1</f>
        <v>Week 9</v>
      </c>
      <c r="BL6" s="145"/>
      <c r="BM6" s="145"/>
      <c r="BN6" s="145"/>
      <c r="BO6" s="145"/>
      <c r="BP6" s="145"/>
      <c r="BQ6" s="145"/>
      <c r="BR6" s="144" t="str">
        <f>"Week "&amp;(BR8-(START-WEEKDAY(START,1)+2))/7+1</f>
        <v>Week 10</v>
      </c>
      <c r="BS6" s="145"/>
      <c r="BT6" s="145"/>
      <c r="BU6" s="145"/>
      <c r="BV6" s="145"/>
      <c r="BW6" s="145"/>
      <c r="BX6" s="145"/>
      <c r="BY6" s="144" t="e">
        <f>"Week "&amp;(BY8-(START-WEEKDAY(START,1)+2))/7+1</f>
        <v>#REF!</v>
      </c>
      <c r="BZ6" s="145"/>
      <c r="CA6" s="145"/>
      <c r="CB6" s="145"/>
      <c r="CC6" s="145"/>
      <c r="CD6" s="144" t="e">
        <f>"Week "&amp;(CD8-(START-WEEKDAY(START,1)+2))/7+1</f>
        <v>#REF!</v>
      </c>
      <c r="CE6" s="145"/>
      <c r="CF6" s="145"/>
      <c r="CG6" s="145"/>
      <c r="CH6" s="145"/>
      <c r="CI6" s="144" t="e">
        <f>"Week "&amp;(CI8-(START-WEEKDAY(START,1)+2))/7+1</f>
        <v>#REF!</v>
      </c>
      <c r="CJ6" s="145"/>
      <c r="CK6" s="145"/>
      <c r="CL6" s="145"/>
      <c r="CM6" s="145"/>
      <c r="CN6" s="144" t="e">
        <f>"Week "&amp;(CN8-(START-WEEKDAY(START,1)+2))/7+1</f>
        <v>#REF!</v>
      </c>
      <c r="CO6" s="145"/>
      <c r="CP6" s="145"/>
      <c r="CQ6" s="145"/>
      <c r="CR6" s="145"/>
      <c r="CS6" s="144" t="e">
        <f>"Week "&amp;(CS8-(START-WEEKDAY(START,1)+2))/7+1</f>
        <v>#REF!</v>
      </c>
      <c r="CT6" s="145"/>
      <c r="CU6" s="145"/>
      <c r="CV6" s="145"/>
      <c r="CW6" s="145"/>
      <c r="CX6" s="144" t="e">
        <f>"Week "&amp;(CX8-(START-WEEKDAY(START,1)+2))/7+1</f>
        <v>#REF!</v>
      </c>
      <c r="CY6" s="145"/>
      <c r="CZ6" s="145"/>
      <c r="DA6" s="145"/>
      <c r="DB6" s="145"/>
      <c r="DC6" s="144" t="e">
        <f>"Week "&amp;(DC8-(START-WEEKDAY(START,1)+2))/7+1</f>
        <v>#REF!</v>
      </c>
      <c r="DD6" s="145"/>
      <c r="DE6" s="145"/>
      <c r="DF6" s="145"/>
      <c r="DG6" s="145"/>
    </row>
    <row r="7" spans="1:113" ht="14" customHeight="1" x14ac:dyDescent="0.25">
      <c r="A7" s="33"/>
      <c r="B7" s="33"/>
      <c r="C7" s="27">
        <f>_xlfn.IFNA(MATCH(C$8,'Project List'!$2:$2,0),-1)</f>
        <v>2</v>
      </c>
      <c r="D7" s="27">
        <f>_xlfn.IFNA(MATCH(D$8,'Project List'!$2:$2,0),-1)</f>
        <v>20</v>
      </c>
      <c r="E7" s="27">
        <f>_xlfn.IFNA(MATCH(E$8,'Project List'!$2:$2,0),-1)</f>
        <v>13</v>
      </c>
      <c r="F7" s="27">
        <f>_xlfn.IFNA(MATCH(F$8,'Project List'!$2:$2,0),-1)</f>
        <v>9</v>
      </c>
      <c r="G7" s="39"/>
      <c r="H7" s="32"/>
      <c r="I7" s="39"/>
      <c r="J7" s="39"/>
      <c r="K7" s="39"/>
      <c r="L7" s="133">
        <v>2</v>
      </c>
      <c r="M7" s="40"/>
      <c r="N7" s="138">
        <f>N8</f>
        <v>45964</v>
      </c>
      <c r="O7" s="139"/>
      <c r="P7" s="139"/>
      <c r="Q7" s="139"/>
      <c r="R7" s="139"/>
      <c r="S7" s="139"/>
      <c r="T7" s="139"/>
      <c r="U7" s="138">
        <f>U8</f>
        <v>45971</v>
      </c>
      <c r="V7" s="139"/>
      <c r="W7" s="139"/>
      <c r="X7" s="139"/>
      <c r="Y7" s="139"/>
      <c r="Z7" s="139"/>
      <c r="AA7" s="139"/>
      <c r="AB7" s="138">
        <f>AB8</f>
        <v>45978</v>
      </c>
      <c r="AC7" s="139"/>
      <c r="AD7" s="139"/>
      <c r="AE7" s="139"/>
      <c r="AF7" s="139"/>
      <c r="AG7" s="139"/>
      <c r="AH7" s="139"/>
      <c r="AI7" s="138">
        <f>AI8</f>
        <v>45985</v>
      </c>
      <c r="AJ7" s="139"/>
      <c r="AK7" s="139"/>
      <c r="AL7" s="139"/>
      <c r="AM7" s="139"/>
      <c r="AN7" s="139"/>
      <c r="AO7" s="139"/>
      <c r="AP7" s="138">
        <f>AP8</f>
        <v>45992</v>
      </c>
      <c r="AQ7" s="139"/>
      <c r="AR7" s="139"/>
      <c r="AS7" s="139"/>
      <c r="AT7" s="139"/>
      <c r="AU7" s="139"/>
      <c r="AV7" s="139"/>
      <c r="AW7" s="138">
        <f>AW8</f>
        <v>45999</v>
      </c>
      <c r="AX7" s="139"/>
      <c r="AY7" s="139"/>
      <c r="AZ7" s="139"/>
      <c r="BA7" s="139"/>
      <c r="BB7" s="139"/>
      <c r="BC7" s="139"/>
      <c r="BD7" s="138">
        <f>BD8</f>
        <v>46006</v>
      </c>
      <c r="BE7" s="139"/>
      <c r="BF7" s="139"/>
      <c r="BG7" s="139"/>
      <c r="BH7" s="139"/>
      <c r="BI7" s="139"/>
      <c r="BJ7" s="139"/>
      <c r="BK7" s="138">
        <f>BK8</f>
        <v>46013</v>
      </c>
      <c r="BL7" s="139"/>
      <c r="BM7" s="139"/>
      <c r="BN7" s="139"/>
      <c r="BO7" s="139"/>
      <c r="BP7" s="139"/>
      <c r="BQ7" s="139"/>
      <c r="BR7" s="138">
        <f>BR8</f>
        <v>46020</v>
      </c>
      <c r="BS7" s="139"/>
      <c r="BT7" s="139"/>
      <c r="BU7" s="139"/>
      <c r="BV7" s="139"/>
      <c r="BW7" s="139"/>
      <c r="BX7" s="139"/>
      <c r="BY7" s="138" t="e">
        <f>BY8</f>
        <v>#REF!</v>
      </c>
      <c r="BZ7" s="139"/>
      <c r="CA7" s="139"/>
      <c r="CB7" s="139"/>
      <c r="CC7" s="139"/>
      <c r="CD7" s="138" t="e">
        <f>CD8</f>
        <v>#REF!</v>
      </c>
      <c r="CE7" s="139"/>
      <c r="CF7" s="139"/>
      <c r="CG7" s="139"/>
      <c r="CH7" s="139"/>
      <c r="CI7" s="138" t="e">
        <f>CI8</f>
        <v>#REF!</v>
      </c>
      <c r="CJ7" s="139"/>
      <c r="CK7" s="139"/>
      <c r="CL7" s="139"/>
      <c r="CM7" s="139"/>
      <c r="CN7" s="138" t="e">
        <f>CN8</f>
        <v>#REF!</v>
      </c>
      <c r="CO7" s="139"/>
      <c r="CP7" s="139"/>
      <c r="CQ7" s="139"/>
      <c r="CR7" s="139"/>
      <c r="CS7" s="138" t="e">
        <f>CS8</f>
        <v>#REF!</v>
      </c>
      <c r="CT7" s="139"/>
      <c r="CU7" s="139"/>
      <c r="CV7" s="139"/>
      <c r="CW7" s="139"/>
      <c r="CX7" s="138" t="e">
        <f>CX8</f>
        <v>#REF!</v>
      </c>
      <c r="CY7" s="139"/>
      <c r="CZ7" s="139"/>
      <c r="DA7" s="139"/>
      <c r="DB7" s="139"/>
      <c r="DC7" s="138" t="e">
        <f>DC8</f>
        <v>#REF!</v>
      </c>
      <c r="DD7" s="139"/>
      <c r="DE7" s="139"/>
      <c r="DF7" s="139"/>
      <c r="DG7" s="139"/>
    </row>
    <row r="8" spans="1:113" ht="13" customHeight="1" x14ac:dyDescent="0.25">
      <c r="A8" s="136" t="s">
        <v>50</v>
      </c>
      <c r="B8" s="136" t="s">
        <v>217</v>
      </c>
      <c r="C8" s="136" t="s">
        <v>216</v>
      </c>
      <c r="D8" s="142" t="s">
        <v>215</v>
      </c>
      <c r="E8" s="136" t="s">
        <v>218</v>
      </c>
      <c r="F8" s="142" t="s">
        <v>219</v>
      </c>
      <c r="G8" s="140" t="s">
        <v>52</v>
      </c>
      <c r="H8" s="136" t="s">
        <v>4</v>
      </c>
      <c r="I8" s="136" t="s">
        <v>51</v>
      </c>
      <c r="J8" s="140" t="s">
        <v>142</v>
      </c>
      <c r="K8" s="140" t="s">
        <v>143</v>
      </c>
      <c r="L8" s="136" t="s">
        <v>5</v>
      </c>
      <c r="M8" s="40"/>
      <c r="N8" s="67">
        <f>START-WEEKDAY(START,1)+2+7*(L7-1)</f>
        <v>45964</v>
      </c>
      <c r="O8" s="68">
        <f t="shared" ref="O8" si="0">N8+1</f>
        <v>45965</v>
      </c>
      <c r="P8" s="68">
        <f t="shared" ref="P8" si="1">O8+1</f>
        <v>45966</v>
      </c>
      <c r="Q8" s="68">
        <f t="shared" ref="Q8" si="2">P8+1</f>
        <v>45967</v>
      </c>
      <c r="R8" s="68">
        <f t="shared" ref="R8" si="3">Q8+1</f>
        <v>45968</v>
      </c>
      <c r="S8" s="68">
        <f t="shared" ref="S8" si="4">R8+1</f>
        <v>45969</v>
      </c>
      <c r="T8" s="68">
        <f t="shared" ref="T8" si="5">S8+1</f>
        <v>45970</v>
      </c>
      <c r="U8" s="68">
        <f t="shared" ref="U8" si="6">T8+1</f>
        <v>45971</v>
      </c>
      <c r="V8" s="68">
        <f t="shared" ref="V8" si="7">U8+1</f>
        <v>45972</v>
      </c>
      <c r="W8" s="68">
        <f t="shared" ref="W8" si="8">V8+1</f>
        <v>45973</v>
      </c>
      <c r="X8" s="68">
        <f t="shared" ref="X8" si="9">W8+1</f>
        <v>45974</v>
      </c>
      <c r="Y8" s="68">
        <f t="shared" ref="Y8" si="10">X8+1</f>
        <v>45975</v>
      </c>
      <c r="Z8" s="68">
        <f t="shared" ref="Z8" si="11">Y8+1</f>
        <v>45976</v>
      </c>
      <c r="AA8" s="68">
        <f t="shared" ref="AA8" si="12">Z8+1</f>
        <v>45977</v>
      </c>
      <c r="AB8" s="68">
        <f t="shared" ref="AB8" si="13">AA8+1</f>
        <v>45978</v>
      </c>
      <c r="AC8" s="68">
        <f t="shared" ref="AC8" si="14">AB8+1</f>
        <v>45979</v>
      </c>
      <c r="AD8" s="68">
        <f t="shared" ref="AD8" si="15">AC8+1</f>
        <v>45980</v>
      </c>
      <c r="AE8" s="68">
        <f t="shared" ref="AE8" si="16">AD8+1</f>
        <v>45981</v>
      </c>
      <c r="AF8" s="68">
        <f t="shared" ref="AF8" si="17">AE8+1</f>
        <v>45982</v>
      </c>
      <c r="AG8" s="68">
        <f t="shared" ref="AG8" si="18">AF8+1</f>
        <v>45983</v>
      </c>
      <c r="AH8" s="68">
        <f t="shared" ref="AH8" si="19">AG8+1</f>
        <v>45984</v>
      </c>
      <c r="AI8" s="68">
        <f t="shared" ref="AI8" si="20">AH8+1</f>
        <v>45985</v>
      </c>
      <c r="AJ8" s="68">
        <f t="shared" ref="AJ8" si="21">AI8+1</f>
        <v>45986</v>
      </c>
      <c r="AK8" s="68">
        <f t="shared" ref="AK8" si="22">AJ8+1</f>
        <v>45987</v>
      </c>
      <c r="AL8" s="68">
        <f t="shared" ref="AL8" si="23">AK8+1</f>
        <v>45988</v>
      </c>
      <c r="AM8" s="68">
        <f t="shared" ref="AM8" si="24">AL8+1</f>
        <v>45989</v>
      </c>
      <c r="AN8" s="68">
        <f t="shared" ref="AN8" si="25">AM8+1</f>
        <v>45990</v>
      </c>
      <c r="AO8" s="68">
        <f t="shared" ref="AO8" si="26">AN8+1</f>
        <v>45991</v>
      </c>
      <c r="AP8" s="68">
        <f t="shared" ref="AP8" si="27">AO8+1</f>
        <v>45992</v>
      </c>
      <c r="AQ8" s="68">
        <f t="shared" ref="AQ8" si="28">AP8+1</f>
        <v>45993</v>
      </c>
      <c r="AR8" s="68">
        <f t="shared" ref="AR8" si="29">AQ8+1</f>
        <v>45994</v>
      </c>
      <c r="AS8" s="68">
        <f t="shared" ref="AS8" si="30">AR8+1</f>
        <v>45995</v>
      </c>
      <c r="AT8" s="68">
        <f t="shared" ref="AT8" si="31">AS8+1</f>
        <v>45996</v>
      </c>
      <c r="AU8" s="68">
        <f t="shared" ref="AU8" si="32">AT8+1</f>
        <v>45997</v>
      </c>
      <c r="AV8" s="68">
        <f t="shared" ref="AV8" si="33">AU8+1</f>
        <v>45998</v>
      </c>
      <c r="AW8" s="68">
        <f t="shared" ref="AW8" si="34">AV8+1</f>
        <v>45999</v>
      </c>
      <c r="AX8" s="68">
        <f t="shared" ref="AX8" si="35">AW8+1</f>
        <v>46000</v>
      </c>
      <c r="AY8" s="68">
        <f t="shared" ref="AY8" si="36">AX8+1</f>
        <v>46001</v>
      </c>
      <c r="AZ8" s="68">
        <f t="shared" ref="AZ8" si="37">AY8+1</f>
        <v>46002</v>
      </c>
      <c r="BA8" s="68">
        <f t="shared" ref="BA8" si="38">AZ8+1</f>
        <v>46003</v>
      </c>
      <c r="BB8" s="68">
        <f t="shared" ref="BB8" si="39">BA8+1</f>
        <v>46004</v>
      </c>
      <c r="BC8" s="68">
        <f t="shared" ref="BC8" si="40">BB8+1</f>
        <v>46005</v>
      </c>
      <c r="BD8" s="68">
        <f t="shared" ref="BD8" si="41">BC8+1</f>
        <v>46006</v>
      </c>
      <c r="BE8" s="68">
        <f t="shared" ref="BE8" si="42">BD8+1</f>
        <v>46007</v>
      </c>
      <c r="BF8" s="68">
        <f t="shared" ref="BF8" si="43">BE8+1</f>
        <v>46008</v>
      </c>
      <c r="BG8" s="68">
        <f t="shared" ref="BG8" si="44">BF8+1</f>
        <v>46009</v>
      </c>
      <c r="BH8" s="68">
        <f t="shared" ref="BH8" si="45">BG8+1</f>
        <v>46010</v>
      </c>
      <c r="BI8" s="68">
        <f t="shared" ref="BI8" si="46">BH8+1</f>
        <v>46011</v>
      </c>
      <c r="BJ8" s="68">
        <f t="shared" ref="BJ8" si="47">BI8+1</f>
        <v>46012</v>
      </c>
      <c r="BK8" s="68">
        <f t="shared" ref="BK8" si="48">BJ8+1</f>
        <v>46013</v>
      </c>
      <c r="BL8" s="68">
        <f t="shared" ref="BL8" si="49">BK8+1</f>
        <v>46014</v>
      </c>
      <c r="BM8" s="68">
        <f t="shared" ref="BM8" si="50">BL8+1</f>
        <v>46015</v>
      </c>
      <c r="BN8" s="68">
        <f t="shared" ref="BN8" si="51">BM8+1</f>
        <v>46016</v>
      </c>
      <c r="BO8" s="68">
        <f t="shared" ref="BO8" si="52">BN8+1</f>
        <v>46017</v>
      </c>
      <c r="BP8" s="68">
        <f t="shared" ref="BP8" si="53">BO8+1</f>
        <v>46018</v>
      </c>
      <c r="BQ8" s="68">
        <f t="shared" ref="BQ8" si="54">BP8+1</f>
        <v>46019</v>
      </c>
      <c r="BR8" s="68">
        <f t="shared" ref="BR8" si="55">BQ8+1</f>
        <v>46020</v>
      </c>
      <c r="BS8" s="68">
        <f t="shared" ref="BS8" si="56">BR8+1</f>
        <v>46021</v>
      </c>
      <c r="BT8" s="68">
        <f t="shared" ref="BT8" si="57">BS8+1</f>
        <v>46022</v>
      </c>
      <c r="BU8" s="68">
        <f t="shared" ref="BU8" si="58">BT8+1</f>
        <v>46023</v>
      </c>
      <c r="BV8" s="68">
        <f t="shared" ref="BV8" si="59">BU8+1</f>
        <v>46024</v>
      </c>
      <c r="BW8" s="68">
        <f t="shared" ref="BW8" si="60">BV8+1</f>
        <v>46025</v>
      </c>
      <c r="BX8" s="68">
        <f t="shared" ref="BX8" si="61">BW8+1</f>
        <v>46026</v>
      </c>
      <c r="BY8" s="68" t="e">
        <f>#REF!+3</f>
        <v>#REF!</v>
      </c>
      <c r="BZ8" s="68" t="e">
        <f t="shared" ref="BZ8" si="62">BY8+1</f>
        <v>#REF!</v>
      </c>
      <c r="CA8" s="68" t="e">
        <f t="shared" ref="CA8" si="63">BZ8+1</f>
        <v>#REF!</v>
      </c>
      <c r="CB8" s="68" t="e">
        <f t="shared" ref="CB8" si="64">CA8+1</f>
        <v>#REF!</v>
      </c>
      <c r="CC8" s="68" t="e">
        <f t="shared" ref="CC8" si="65">CB8+1</f>
        <v>#REF!</v>
      </c>
      <c r="CD8" s="67" t="e">
        <f>CC8+3</f>
        <v>#REF!</v>
      </c>
      <c r="CE8" s="68" t="e">
        <f t="shared" ref="CE8" si="66">CD8+1</f>
        <v>#REF!</v>
      </c>
      <c r="CF8" s="68" t="e">
        <f t="shared" ref="CF8" si="67">CE8+1</f>
        <v>#REF!</v>
      </c>
      <c r="CG8" s="68" t="e">
        <f t="shared" ref="CG8" si="68">CF8+1</f>
        <v>#REF!</v>
      </c>
      <c r="CH8" s="68" t="e">
        <f t="shared" ref="CH8" si="69">CG8+1</f>
        <v>#REF!</v>
      </c>
      <c r="CI8" s="67" t="e">
        <f>CH8+3</f>
        <v>#REF!</v>
      </c>
      <c r="CJ8" s="68" t="e">
        <f t="shared" ref="CJ8" si="70">CI8+1</f>
        <v>#REF!</v>
      </c>
      <c r="CK8" s="68" t="e">
        <f t="shared" ref="CK8" si="71">CJ8+1</f>
        <v>#REF!</v>
      </c>
      <c r="CL8" s="68" t="e">
        <f t="shared" ref="CL8" si="72">CK8+1</f>
        <v>#REF!</v>
      </c>
      <c r="CM8" s="68" t="e">
        <f t="shared" ref="CM8" si="73">CL8+1</f>
        <v>#REF!</v>
      </c>
      <c r="CN8" s="67" t="e">
        <f>CM8+3</f>
        <v>#REF!</v>
      </c>
      <c r="CO8" s="68" t="e">
        <f t="shared" ref="CO8" si="74">CN8+1</f>
        <v>#REF!</v>
      </c>
      <c r="CP8" s="68" t="e">
        <f t="shared" ref="CP8" si="75">CO8+1</f>
        <v>#REF!</v>
      </c>
      <c r="CQ8" s="68" t="e">
        <f t="shared" ref="CQ8" si="76">CP8+1</f>
        <v>#REF!</v>
      </c>
      <c r="CR8" s="68" t="e">
        <f t="shared" ref="CR8" si="77">CQ8+1</f>
        <v>#REF!</v>
      </c>
      <c r="CS8" s="67" t="e">
        <f>CR8+3</f>
        <v>#REF!</v>
      </c>
      <c r="CT8" s="68" t="e">
        <f t="shared" ref="CT8" si="78">CS8+1</f>
        <v>#REF!</v>
      </c>
      <c r="CU8" s="68" t="e">
        <f t="shared" ref="CU8" si="79">CT8+1</f>
        <v>#REF!</v>
      </c>
      <c r="CV8" s="68" t="e">
        <f t="shared" ref="CV8" si="80">CU8+1</f>
        <v>#REF!</v>
      </c>
      <c r="CW8" s="68" t="e">
        <f t="shared" ref="CW8" si="81">CV8+1</f>
        <v>#REF!</v>
      </c>
      <c r="CX8" s="67" t="e">
        <f>CW8+3</f>
        <v>#REF!</v>
      </c>
      <c r="CY8" s="68" t="e">
        <f t="shared" ref="CY8" si="82">CX8+1</f>
        <v>#REF!</v>
      </c>
      <c r="CZ8" s="68" t="e">
        <f t="shared" ref="CZ8" si="83">CY8+1</f>
        <v>#REF!</v>
      </c>
      <c r="DA8" s="68" t="e">
        <f t="shared" ref="DA8" si="84">CZ8+1</f>
        <v>#REF!</v>
      </c>
      <c r="DB8" s="68" t="e">
        <f t="shared" ref="DB8" si="85">DA8+1</f>
        <v>#REF!</v>
      </c>
      <c r="DC8" s="67" t="e">
        <f>DB8+3</f>
        <v>#REF!</v>
      </c>
      <c r="DD8" s="68" t="e">
        <f t="shared" ref="DD8" si="86">DC8+1</f>
        <v>#REF!</v>
      </c>
      <c r="DE8" s="68" t="e">
        <f t="shared" ref="DE8" si="87">DD8+1</f>
        <v>#REF!</v>
      </c>
      <c r="DF8" s="68" t="e">
        <f t="shared" ref="DF8" si="88">DE8+1</f>
        <v>#REF!</v>
      </c>
      <c r="DG8" s="68" t="e">
        <f t="shared" ref="DG8" si="89">DF8+1</f>
        <v>#REF!</v>
      </c>
    </row>
    <row r="9" spans="1:113" ht="13" customHeight="1" thickBot="1" x14ac:dyDescent="0.3">
      <c r="A9" s="137" t="s">
        <v>40</v>
      </c>
      <c r="B9" s="137" t="s">
        <v>40</v>
      </c>
      <c r="C9" s="137" t="s">
        <v>40</v>
      </c>
      <c r="D9" s="143" t="s">
        <v>40</v>
      </c>
      <c r="E9" s="137" t="s">
        <v>40</v>
      </c>
      <c r="F9" s="143"/>
      <c r="G9" s="141"/>
      <c r="H9" s="137"/>
      <c r="I9" s="137"/>
      <c r="J9" s="141"/>
      <c r="K9" s="141"/>
      <c r="L9" s="137"/>
      <c r="M9" s="41"/>
      <c r="N9" s="69" t="str">
        <f>CHOOSE(WEEKDAY(N8,1),"SUN","M","T","W","T","F","SAR")</f>
        <v>M</v>
      </c>
      <c r="O9" s="70" t="str">
        <f t="shared" ref="O9" si="90">CHOOSE(WEEKDAY(O8,1),"SUN","M","T","W","T","F","SAR")</f>
        <v>T</v>
      </c>
      <c r="P9" s="70" t="str">
        <f t="shared" ref="P9" si="91">CHOOSE(WEEKDAY(P8,1),"SUN","M","T","W","T","F","SAR")</f>
        <v>W</v>
      </c>
      <c r="Q9" s="70" t="str">
        <f t="shared" ref="Q9" si="92">CHOOSE(WEEKDAY(Q8,1),"SUN","M","T","W","T","F","SAR")</f>
        <v>T</v>
      </c>
      <c r="R9" s="70" t="str">
        <f t="shared" ref="R9" si="93">CHOOSE(WEEKDAY(R8,1),"SUN","M","T","W","T","F","SAR")</f>
        <v>F</v>
      </c>
      <c r="S9" s="70" t="str">
        <f t="shared" ref="S9" si="94">CHOOSE(WEEKDAY(S8,1),"SUN","M","T","W","T","F","SAR")</f>
        <v>SAR</v>
      </c>
      <c r="T9" s="70" t="str">
        <f t="shared" ref="T9" si="95">CHOOSE(WEEKDAY(T8,1),"SUN","M","T","W","T","F","SAR")</f>
        <v>SUN</v>
      </c>
      <c r="U9" s="70" t="str">
        <f t="shared" ref="U9" si="96">CHOOSE(WEEKDAY(U8,1),"SUN","M","T","W","T","F","SAR")</f>
        <v>M</v>
      </c>
      <c r="V9" s="70" t="str">
        <f t="shared" ref="V9" si="97">CHOOSE(WEEKDAY(V8,1),"SUN","M","T","W","T","F","SAR")</f>
        <v>T</v>
      </c>
      <c r="W9" s="70" t="str">
        <f t="shared" ref="W9" si="98">CHOOSE(WEEKDAY(W8,1),"SUN","M","T","W","T","F","SAR")</f>
        <v>W</v>
      </c>
      <c r="X9" s="70" t="str">
        <f t="shared" ref="X9" si="99">CHOOSE(WEEKDAY(X8,1),"SUN","M","T","W","T","F","SAR")</f>
        <v>T</v>
      </c>
      <c r="Y9" s="70" t="str">
        <f t="shared" ref="Y9" si="100">CHOOSE(WEEKDAY(Y8,1),"SUN","M","T","W","T","F","SAR")</f>
        <v>F</v>
      </c>
      <c r="Z9" s="70" t="str">
        <f t="shared" ref="Z9" si="101">CHOOSE(WEEKDAY(Z8,1),"SUN","M","T","W","T","F","SAR")</f>
        <v>SAR</v>
      </c>
      <c r="AA9" s="70" t="str">
        <f t="shared" ref="AA9" si="102">CHOOSE(WEEKDAY(AA8,1),"SUN","M","T","W","T","F","SAR")</f>
        <v>SUN</v>
      </c>
      <c r="AB9" s="70" t="str">
        <f t="shared" ref="AB9" si="103">CHOOSE(WEEKDAY(AB8,1),"SUN","M","T","W","T","F","SAR")</f>
        <v>M</v>
      </c>
      <c r="AC9" s="70" t="str">
        <f t="shared" ref="AC9" si="104">CHOOSE(WEEKDAY(AC8,1),"SUN","M","T","W","T","F","SAR")</f>
        <v>T</v>
      </c>
      <c r="AD9" s="70" t="str">
        <f t="shared" ref="AD9" si="105">CHOOSE(WEEKDAY(AD8,1),"SUN","M","T","W","T","F","SAR")</f>
        <v>W</v>
      </c>
      <c r="AE9" s="70" t="str">
        <f t="shared" ref="AE9" si="106">CHOOSE(WEEKDAY(AE8,1),"SUN","M","T","W","T","F","SAR")</f>
        <v>T</v>
      </c>
      <c r="AF9" s="70" t="str">
        <f t="shared" ref="AF9" si="107">CHOOSE(WEEKDAY(AF8,1),"SUN","M","T","W","T","F","SAR")</f>
        <v>F</v>
      </c>
      <c r="AG9" s="70" t="str">
        <f t="shared" ref="AG9" si="108">CHOOSE(WEEKDAY(AG8,1),"SUN","M","T","W","T","F","SAR")</f>
        <v>SAR</v>
      </c>
      <c r="AH9" s="70" t="str">
        <f t="shared" ref="AH9" si="109">CHOOSE(WEEKDAY(AH8,1),"SUN","M","T","W","T","F","SAR")</f>
        <v>SUN</v>
      </c>
      <c r="AI9" s="70" t="str">
        <f t="shared" ref="AI9" si="110">CHOOSE(WEEKDAY(AI8,1),"SUN","M","T","W","T","F","SAR")</f>
        <v>M</v>
      </c>
      <c r="AJ9" s="70" t="str">
        <f t="shared" ref="AJ9" si="111">CHOOSE(WEEKDAY(AJ8,1),"SUN","M","T","W","T","F","SAR")</f>
        <v>T</v>
      </c>
      <c r="AK9" s="70" t="str">
        <f t="shared" ref="AK9" si="112">CHOOSE(WEEKDAY(AK8,1),"SUN","M","T","W","T","F","SAR")</f>
        <v>W</v>
      </c>
      <c r="AL9" s="70" t="str">
        <f t="shared" ref="AL9" si="113">CHOOSE(WEEKDAY(AL8,1),"SUN","M","T","W","T","F","SAR")</f>
        <v>T</v>
      </c>
      <c r="AM9" s="70" t="str">
        <f t="shared" ref="AM9" si="114">CHOOSE(WEEKDAY(AM8,1),"SUN","M","T","W","T","F","SAR")</f>
        <v>F</v>
      </c>
      <c r="AN9" s="70" t="str">
        <f t="shared" ref="AN9" si="115">CHOOSE(WEEKDAY(AN8,1),"SUN","M","T","W","T","F","SAR")</f>
        <v>SAR</v>
      </c>
      <c r="AO9" s="70" t="str">
        <f t="shared" ref="AO9" si="116">CHOOSE(WEEKDAY(AO8,1),"SUN","M","T","W","T","F","SAR")</f>
        <v>SUN</v>
      </c>
      <c r="AP9" s="70" t="str">
        <f t="shared" ref="AP9" si="117">CHOOSE(WEEKDAY(AP8,1),"SUN","M","T","W","T","F","SAR")</f>
        <v>M</v>
      </c>
      <c r="AQ9" s="70" t="str">
        <f t="shared" ref="AQ9" si="118">CHOOSE(WEEKDAY(AQ8,1),"SUN","M","T","W","T","F","SAR")</f>
        <v>T</v>
      </c>
      <c r="AR9" s="70" t="str">
        <f t="shared" ref="AR9" si="119">CHOOSE(WEEKDAY(AR8,1),"SUN","M","T","W","T","F","SAR")</f>
        <v>W</v>
      </c>
      <c r="AS9" s="70" t="str">
        <f t="shared" ref="AS9" si="120">CHOOSE(WEEKDAY(AS8,1),"SUN","M","T","W","T","F","SAR")</f>
        <v>T</v>
      </c>
      <c r="AT9" s="70" t="str">
        <f t="shared" ref="AT9" si="121">CHOOSE(WEEKDAY(AT8,1),"SUN","M","T","W","T","F","SAR")</f>
        <v>F</v>
      </c>
      <c r="AU9" s="70" t="str">
        <f t="shared" ref="AU9" si="122">CHOOSE(WEEKDAY(AU8,1),"SUN","M","T","W","T","F","SAR")</f>
        <v>SAR</v>
      </c>
      <c r="AV9" s="70" t="str">
        <f t="shared" ref="AV9" si="123">CHOOSE(WEEKDAY(AV8,1),"SUN","M","T","W","T","F","SAR")</f>
        <v>SUN</v>
      </c>
      <c r="AW9" s="70" t="str">
        <f t="shared" ref="AW9" si="124">CHOOSE(WEEKDAY(AW8,1),"SUN","M","T","W","T","F","SAR")</f>
        <v>M</v>
      </c>
      <c r="AX9" s="70" t="str">
        <f t="shared" ref="AX9" si="125">CHOOSE(WEEKDAY(AX8,1),"SUN","M","T","W","T","F","SAR")</f>
        <v>T</v>
      </c>
      <c r="AY9" s="70" t="str">
        <f t="shared" ref="AY9" si="126">CHOOSE(WEEKDAY(AY8,1),"SUN","M","T","W","T","F","SAR")</f>
        <v>W</v>
      </c>
      <c r="AZ9" s="70" t="str">
        <f t="shared" ref="AZ9" si="127">CHOOSE(WEEKDAY(AZ8,1),"SUN","M","T","W","T","F","SAR")</f>
        <v>T</v>
      </c>
      <c r="BA9" s="70" t="str">
        <f t="shared" ref="BA9" si="128">CHOOSE(WEEKDAY(BA8,1),"SUN","M","T","W","T","F","SAR")</f>
        <v>F</v>
      </c>
      <c r="BB9" s="70" t="str">
        <f t="shared" ref="BB9" si="129">CHOOSE(WEEKDAY(BB8,1),"SUN","M","T","W","T","F","SAR")</f>
        <v>SAR</v>
      </c>
      <c r="BC9" s="70" t="str">
        <f t="shared" ref="BC9" si="130">CHOOSE(WEEKDAY(BC8,1),"SUN","M","T","W","T","F","SAR")</f>
        <v>SUN</v>
      </c>
      <c r="BD9" s="70" t="str">
        <f t="shared" ref="BD9" si="131">CHOOSE(WEEKDAY(BD8,1),"SUN","M","T","W","T","F","SAR")</f>
        <v>M</v>
      </c>
      <c r="BE9" s="70" t="str">
        <f t="shared" ref="BE9" si="132">CHOOSE(WEEKDAY(BE8,1),"SUN","M","T","W","T","F","SAR")</f>
        <v>T</v>
      </c>
      <c r="BF9" s="70" t="str">
        <f t="shared" ref="BF9" si="133">CHOOSE(WEEKDAY(BF8,1),"SUN","M","T","W","T","F","SAR")</f>
        <v>W</v>
      </c>
      <c r="BG9" s="70" t="str">
        <f t="shared" ref="BG9" si="134">CHOOSE(WEEKDAY(BG8,1),"SUN","M","T","W","T","F","SAR")</f>
        <v>T</v>
      </c>
      <c r="BH9" s="70" t="str">
        <f t="shared" ref="BH9" si="135">CHOOSE(WEEKDAY(BH8,1),"SUN","M","T","W","T","F","SAR")</f>
        <v>F</v>
      </c>
      <c r="BI9" s="70" t="str">
        <f t="shared" ref="BI9" si="136">CHOOSE(WEEKDAY(BI8,1),"SUN","M","T","W","T","F","SAR")</f>
        <v>SAR</v>
      </c>
      <c r="BJ9" s="70" t="str">
        <f t="shared" ref="BJ9" si="137">CHOOSE(WEEKDAY(BJ8,1),"SUN","M","T","W","T","F","SAR")</f>
        <v>SUN</v>
      </c>
      <c r="BK9" s="70" t="str">
        <f t="shared" ref="BK9" si="138">CHOOSE(WEEKDAY(BK8,1),"SUN","M","T","W","T","F","SAR")</f>
        <v>M</v>
      </c>
      <c r="BL9" s="70" t="str">
        <f t="shared" ref="BL9" si="139">CHOOSE(WEEKDAY(BL8,1),"SUN","M","T","W","T","F","SAR")</f>
        <v>T</v>
      </c>
      <c r="BM9" s="70" t="str">
        <f t="shared" ref="BM9" si="140">CHOOSE(WEEKDAY(BM8,1),"SUN","M","T","W","T","F","SAR")</f>
        <v>W</v>
      </c>
      <c r="BN9" s="70" t="str">
        <f t="shared" ref="BN9" si="141">CHOOSE(WEEKDAY(BN8,1),"SUN","M","T","W","T","F","SAR")</f>
        <v>T</v>
      </c>
      <c r="BO9" s="70" t="str">
        <f t="shared" ref="BO9" si="142">CHOOSE(WEEKDAY(BO8,1),"SUN","M","T","W","T","F","SAR")</f>
        <v>F</v>
      </c>
      <c r="BP9" s="70" t="str">
        <f t="shared" ref="BP9" si="143">CHOOSE(WEEKDAY(BP8,1),"SUN","M","T","W","T","F","SAR")</f>
        <v>SAR</v>
      </c>
      <c r="BQ9" s="70" t="str">
        <f t="shared" ref="BQ9" si="144">CHOOSE(WEEKDAY(BQ8,1),"SUN","M","T","W","T","F","SAR")</f>
        <v>SUN</v>
      </c>
      <c r="BR9" s="70" t="str">
        <f t="shared" ref="BR9" si="145">CHOOSE(WEEKDAY(BR8,1),"SUN","M","T","W","T","F","SAR")</f>
        <v>M</v>
      </c>
      <c r="BS9" s="70" t="str">
        <f t="shared" ref="BS9" si="146">CHOOSE(WEEKDAY(BS8,1),"SUN","M","T","W","T","F","SAR")</f>
        <v>T</v>
      </c>
      <c r="BT9" s="70" t="str">
        <f t="shared" ref="BT9" si="147">CHOOSE(WEEKDAY(BT8,1),"SUN","M","T","W","T","F","SAR")</f>
        <v>W</v>
      </c>
      <c r="BU9" s="70" t="str">
        <f t="shared" ref="BU9" si="148">CHOOSE(WEEKDAY(BU8,1),"SUN","M","T","W","T","F","SAR")</f>
        <v>T</v>
      </c>
      <c r="BV9" s="70" t="str">
        <f t="shared" ref="BV9" si="149">CHOOSE(WEEKDAY(BV8,1),"SUN","M","T","W","T","F","SAR")</f>
        <v>F</v>
      </c>
      <c r="BW9" s="70" t="str">
        <f t="shared" ref="BW9" si="150">CHOOSE(WEEKDAY(BW8,1),"SUN","M","T","W","T","F","SAR")</f>
        <v>SAR</v>
      </c>
      <c r="BX9" s="70" t="str">
        <f t="shared" ref="BX9" si="151">CHOOSE(WEEKDAY(BX8,1),"SUN","M","T","W","T","F","SAR")</f>
        <v>SUN</v>
      </c>
      <c r="BY9" s="68" t="e">
        <f t="shared" ref="BY9:CC9" si="152">CHOOSE(WEEKDAY(BY8,1),"S","M","T","W","T","F","S")</f>
        <v>#REF!</v>
      </c>
      <c r="BZ9" s="68" t="e">
        <f t="shared" si="152"/>
        <v>#REF!</v>
      </c>
      <c r="CA9" s="68" t="e">
        <f t="shared" si="152"/>
        <v>#REF!</v>
      </c>
      <c r="CB9" s="68" t="e">
        <f t="shared" si="152"/>
        <v>#REF!</v>
      </c>
      <c r="CC9" s="68" t="e">
        <f t="shared" si="152"/>
        <v>#REF!</v>
      </c>
      <c r="CD9" s="69" t="e">
        <f t="shared" ref="CD9:CH9" si="153">CHOOSE(WEEKDAY(CD8,1),"S","M","T","W","T","F","S")</f>
        <v>#REF!</v>
      </c>
      <c r="CE9" s="70" t="e">
        <f t="shared" si="153"/>
        <v>#REF!</v>
      </c>
      <c r="CF9" s="70" t="e">
        <f t="shared" si="153"/>
        <v>#REF!</v>
      </c>
      <c r="CG9" s="70" t="e">
        <f t="shared" si="153"/>
        <v>#REF!</v>
      </c>
      <c r="CH9" s="70" t="e">
        <f t="shared" si="153"/>
        <v>#REF!</v>
      </c>
      <c r="CI9" s="69" t="e">
        <f t="shared" ref="CI9:CM9" si="154">CHOOSE(WEEKDAY(CI8,1),"S","M","T","W","T","F","S")</f>
        <v>#REF!</v>
      </c>
      <c r="CJ9" s="70" t="e">
        <f t="shared" si="154"/>
        <v>#REF!</v>
      </c>
      <c r="CK9" s="70" t="e">
        <f t="shared" si="154"/>
        <v>#REF!</v>
      </c>
      <c r="CL9" s="70" t="e">
        <f t="shared" si="154"/>
        <v>#REF!</v>
      </c>
      <c r="CM9" s="70" t="e">
        <f t="shared" si="154"/>
        <v>#REF!</v>
      </c>
      <c r="CN9" s="69" t="e">
        <f t="shared" ref="CN9:CW9" si="155">CHOOSE(WEEKDAY(CN8,1),"S","M","T","W","T","F","S")</f>
        <v>#REF!</v>
      </c>
      <c r="CO9" s="70" t="e">
        <f t="shared" si="155"/>
        <v>#REF!</v>
      </c>
      <c r="CP9" s="70" t="e">
        <f t="shared" si="155"/>
        <v>#REF!</v>
      </c>
      <c r="CQ9" s="70" t="e">
        <f t="shared" si="155"/>
        <v>#REF!</v>
      </c>
      <c r="CR9" s="70" t="e">
        <f t="shared" si="155"/>
        <v>#REF!</v>
      </c>
      <c r="CS9" s="69" t="e">
        <f t="shared" si="155"/>
        <v>#REF!</v>
      </c>
      <c r="CT9" s="70" t="e">
        <f t="shared" si="155"/>
        <v>#REF!</v>
      </c>
      <c r="CU9" s="70" t="e">
        <f t="shared" si="155"/>
        <v>#REF!</v>
      </c>
      <c r="CV9" s="70" t="e">
        <f t="shared" si="155"/>
        <v>#REF!</v>
      </c>
      <c r="CW9" s="70" t="e">
        <f t="shared" si="155"/>
        <v>#REF!</v>
      </c>
      <c r="CX9" s="69" t="e">
        <f t="shared" ref="CX9:DB9" si="156">CHOOSE(WEEKDAY(CX8,1),"S","M","T","W","T","F","S")</f>
        <v>#REF!</v>
      </c>
      <c r="CY9" s="70" t="e">
        <f t="shared" si="156"/>
        <v>#REF!</v>
      </c>
      <c r="CZ9" s="70" t="e">
        <f t="shared" si="156"/>
        <v>#REF!</v>
      </c>
      <c r="DA9" s="70" t="e">
        <f t="shared" si="156"/>
        <v>#REF!</v>
      </c>
      <c r="DB9" s="70" t="e">
        <f t="shared" si="156"/>
        <v>#REF!</v>
      </c>
      <c r="DC9" s="69" t="e">
        <f t="shared" ref="DC9:DG9" si="157">CHOOSE(WEEKDAY(DC8,1),"S","M","T","W","T","F","S")</f>
        <v>#REF!</v>
      </c>
      <c r="DD9" s="70" t="e">
        <f t="shared" si="157"/>
        <v>#REF!</v>
      </c>
      <c r="DE9" s="70" t="e">
        <f t="shared" si="157"/>
        <v>#REF!</v>
      </c>
      <c r="DF9" s="70" t="e">
        <f t="shared" si="157"/>
        <v>#REF!</v>
      </c>
      <c r="DG9" s="70" t="e">
        <f t="shared" si="157"/>
        <v>#REF!</v>
      </c>
    </row>
    <row r="10" spans="1:113" s="29" customFormat="1" ht="18.75" customHeight="1" x14ac:dyDescent="0.25">
      <c r="A10" s="34" t="str">
        <f>IF(ISERROR(VALUE(SUBSTITUTE(prevWBS,".",""))),"1",IF(ISERROR(FIND("`",SUBSTITUTE(prevWBS,".","`",1))),TEXT(VALUE(prevWBS)+1,"#"),TEXT(VALUE(LEFT(prevWBS,FIND("`",SUBSTITUTE(prevWBS,".","`",1))-1))+1,"#")))</f>
        <v>1</v>
      </c>
      <c r="B10" s="34"/>
      <c r="C10" s="118" t="s">
        <v>146</v>
      </c>
      <c r="D10" s="118"/>
      <c r="E10" s="118"/>
      <c r="F10" s="42"/>
      <c r="G10" s="42"/>
      <c r="H10" s="43"/>
      <c r="I10" s="44"/>
      <c r="J10" s="44"/>
      <c r="K10" s="44"/>
      <c r="L10" s="114"/>
      <c r="M10" s="45"/>
      <c r="N10" s="71" t="str">
        <f t="shared" ref="N10:Q10" si="158">IF($I10=N$8,"t","")</f>
        <v/>
      </c>
      <c r="O10" s="72" t="str">
        <f t="shared" si="158"/>
        <v/>
      </c>
      <c r="P10" s="72" t="str">
        <f t="shared" si="158"/>
        <v/>
      </c>
      <c r="Q10" s="72" t="str">
        <f t="shared" si="158"/>
        <v/>
      </c>
      <c r="R10" s="72"/>
      <c r="S10" s="72"/>
      <c r="T10" s="73" t="str">
        <f t="shared" ref="T10:X10" si="159">IF($I10=T$8,"t","")</f>
        <v/>
      </c>
      <c r="U10" s="71" t="str">
        <f t="shared" si="159"/>
        <v/>
      </c>
      <c r="V10" s="72" t="str">
        <f t="shared" si="159"/>
        <v/>
      </c>
      <c r="W10" s="72" t="str">
        <f t="shared" si="159"/>
        <v/>
      </c>
      <c r="X10" s="72" t="str">
        <f t="shared" si="159"/>
        <v/>
      </c>
      <c r="Y10" s="72"/>
      <c r="Z10" s="72"/>
      <c r="AA10" s="73" t="str">
        <f t="shared" ref="AA10:AD10" si="160">IF($I10=AA$8,"t","")</f>
        <v/>
      </c>
      <c r="AB10" s="71" t="str">
        <f t="shared" si="160"/>
        <v/>
      </c>
      <c r="AC10" s="72" t="str">
        <f t="shared" si="160"/>
        <v/>
      </c>
      <c r="AD10" s="72" t="str">
        <f t="shared" si="160"/>
        <v/>
      </c>
      <c r="AE10" s="72"/>
      <c r="AF10" s="72"/>
      <c r="AG10" s="72" t="str">
        <f>IF($I10=AG$8,"t","")</f>
        <v/>
      </c>
      <c r="AH10" s="73" t="str">
        <f>IF($I10=AH$8,"t","")</f>
        <v/>
      </c>
      <c r="AI10" s="71" t="str">
        <f>IF($I10=AI$8,"t","")</f>
        <v/>
      </c>
      <c r="AJ10" s="72" t="str">
        <f>IF($I10=AJ$8,"t","")</f>
        <v/>
      </c>
      <c r="AK10" s="72" t="str">
        <f>IF($I10=AK$8,"t","")</f>
        <v/>
      </c>
      <c r="AL10" s="72"/>
      <c r="AM10" s="72"/>
      <c r="AN10" s="72" t="str">
        <f>IF($I10=AN$8,"t","")</f>
        <v/>
      </c>
      <c r="AO10" s="73" t="str">
        <f>IF($I10=AO$8,"t","")</f>
        <v/>
      </c>
      <c r="AP10" s="71" t="str">
        <f>IF($I10=AP$8,"t","")</f>
        <v/>
      </c>
      <c r="AQ10" s="72" t="str">
        <f>IF($I10=AQ$8,"t","")</f>
        <v/>
      </c>
      <c r="AR10" s="72"/>
      <c r="AS10" s="72"/>
      <c r="AT10" s="72" t="str">
        <f t="shared" ref="AT10:AY10" si="161">IF($I10=AT$8,"t","")</f>
        <v/>
      </c>
      <c r="AU10" s="72" t="str">
        <f t="shared" si="161"/>
        <v/>
      </c>
      <c r="AV10" s="73" t="str">
        <f t="shared" si="161"/>
        <v/>
      </c>
      <c r="AW10" s="71" t="str">
        <f t="shared" si="161"/>
        <v/>
      </c>
      <c r="AX10" s="72" t="str">
        <f t="shared" si="161"/>
        <v/>
      </c>
      <c r="AY10" s="72" t="str">
        <f t="shared" si="161"/>
        <v/>
      </c>
      <c r="AZ10" s="72"/>
      <c r="BA10" s="72"/>
      <c r="BB10" s="72" t="str">
        <f>IF($I10=BB$8,"t","")</f>
        <v/>
      </c>
      <c r="BC10" s="73" t="str">
        <f>IF($I10=BC$8,"t","")</f>
        <v/>
      </c>
      <c r="BD10" s="71" t="str">
        <f>IF($I10=BD$8,"t","")</f>
        <v/>
      </c>
      <c r="BE10" s="72" t="str">
        <f>IF($I10=BE$8,"t","")</f>
        <v/>
      </c>
      <c r="BF10" s="72" t="str">
        <f>IF($I10=BF$8,"t","")</f>
        <v/>
      </c>
      <c r="BG10" s="72"/>
      <c r="BH10" s="72"/>
      <c r="BI10" s="72" t="str">
        <f t="shared" ref="BI10:BN10" si="162">IF($I10=BI$8,"t","")</f>
        <v/>
      </c>
      <c r="BJ10" s="73" t="str">
        <f t="shared" si="162"/>
        <v/>
      </c>
      <c r="BK10" s="71" t="str">
        <f t="shared" si="162"/>
        <v/>
      </c>
      <c r="BL10" s="72" t="str">
        <f t="shared" si="162"/>
        <v/>
      </c>
      <c r="BM10" s="72" t="str">
        <f t="shared" si="162"/>
        <v/>
      </c>
      <c r="BN10" s="72" t="str">
        <f t="shared" si="162"/>
        <v/>
      </c>
      <c r="BO10" s="72"/>
      <c r="BP10" s="72"/>
      <c r="BQ10" s="73" t="str">
        <f>IF($I10=BQ$8,"t","")</f>
        <v/>
      </c>
      <c r="BR10" s="88" t="str">
        <f>IF($I10=BR$8,"t","")</f>
        <v/>
      </c>
      <c r="BS10" s="72" t="str">
        <f>IF($I10=BS$8,"t","")</f>
        <v/>
      </c>
      <c r="BT10" s="72" t="str">
        <f>IF($I10=BT$8,"t","")</f>
        <v/>
      </c>
      <c r="BU10" s="72"/>
      <c r="BV10" s="72"/>
      <c r="BW10" s="72" t="str">
        <f t="shared" ref="BW10:CC10" si="163">IF($I10=BW$8,"t","")</f>
        <v/>
      </c>
      <c r="BX10" s="73" t="str">
        <f t="shared" si="163"/>
        <v/>
      </c>
      <c r="BY10" s="89" t="e">
        <f t="shared" si="163"/>
        <v>#REF!</v>
      </c>
      <c r="BZ10" s="94" t="e">
        <f t="shared" si="163"/>
        <v>#REF!</v>
      </c>
      <c r="CA10" s="94" t="e">
        <f t="shared" si="163"/>
        <v>#REF!</v>
      </c>
      <c r="CB10" s="94" t="e">
        <f t="shared" si="163"/>
        <v>#REF!</v>
      </c>
      <c r="CC10" s="95" t="e">
        <f t="shared" si="163"/>
        <v>#REF!</v>
      </c>
      <c r="CD10" s="96" t="e">
        <f t="shared" ref="CD10:CM10" si="164">IF($I10=CD$8,"t","")</f>
        <v>#REF!</v>
      </c>
      <c r="CE10" s="97" t="e">
        <f t="shared" si="164"/>
        <v>#REF!</v>
      </c>
      <c r="CF10" s="97" t="e">
        <f t="shared" si="164"/>
        <v>#REF!</v>
      </c>
      <c r="CG10" s="97" t="e">
        <f t="shared" si="164"/>
        <v>#REF!</v>
      </c>
      <c r="CH10" s="103" t="e">
        <f t="shared" si="164"/>
        <v>#REF!</v>
      </c>
      <c r="CI10" s="96" t="e">
        <f t="shared" si="164"/>
        <v>#REF!</v>
      </c>
      <c r="CJ10" s="97" t="e">
        <f t="shared" si="164"/>
        <v>#REF!</v>
      </c>
      <c r="CK10" s="97" t="e">
        <f t="shared" si="164"/>
        <v>#REF!</v>
      </c>
      <c r="CL10" s="97" t="e">
        <f t="shared" si="164"/>
        <v>#REF!</v>
      </c>
      <c r="CM10" s="103" t="e">
        <f t="shared" si="164"/>
        <v>#REF!</v>
      </c>
      <c r="CN10" s="96" t="e">
        <f t="shared" ref="CN10:CW10" si="165">IF($I10=CN$8,"t","")</f>
        <v>#REF!</v>
      </c>
      <c r="CO10" s="97" t="e">
        <f t="shared" si="165"/>
        <v>#REF!</v>
      </c>
      <c r="CP10" s="97" t="e">
        <f t="shared" si="165"/>
        <v>#REF!</v>
      </c>
      <c r="CQ10" s="97" t="e">
        <f t="shared" si="165"/>
        <v>#REF!</v>
      </c>
      <c r="CR10" s="103" t="e">
        <f t="shared" si="165"/>
        <v>#REF!</v>
      </c>
      <c r="CS10" s="96" t="e">
        <f t="shared" si="165"/>
        <v>#REF!</v>
      </c>
      <c r="CT10" s="97" t="e">
        <f t="shared" si="165"/>
        <v>#REF!</v>
      </c>
      <c r="CU10" s="97" t="e">
        <f t="shared" si="165"/>
        <v>#REF!</v>
      </c>
      <c r="CV10" s="97" t="e">
        <f t="shared" si="165"/>
        <v>#REF!</v>
      </c>
      <c r="CW10" s="103" t="e">
        <f t="shared" si="165"/>
        <v>#REF!</v>
      </c>
      <c r="CX10" s="96" t="e">
        <f t="shared" ref="CX10:DG10" si="166">IF($I10=CX$8,"t","")</f>
        <v>#REF!</v>
      </c>
      <c r="CY10" s="97" t="e">
        <f t="shared" si="166"/>
        <v>#REF!</v>
      </c>
      <c r="CZ10" s="97" t="e">
        <f t="shared" si="166"/>
        <v>#REF!</v>
      </c>
      <c r="DA10" s="97" t="e">
        <f t="shared" si="166"/>
        <v>#REF!</v>
      </c>
      <c r="DB10" s="103" t="e">
        <f t="shared" si="166"/>
        <v>#REF!</v>
      </c>
      <c r="DC10" s="96" t="e">
        <f t="shared" si="166"/>
        <v>#REF!</v>
      </c>
      <c r="DD10" s="97" t="e">
        <f t="shared" si="166"/>
        <v>#REF!</v>
      </c>
      <c r="DE10" s="97" t="e">
        <f t="shared" si="166"/>
        <v>#REF!</v>
      </c>
      <c r="DF10" s="97" t="e">
        <f t="shared" si="166"/>
        <v>#REF!</v>
      </c>
      <c r="DG10" s="103" t="e">
        <f t="shared" si="166"/>
        <v>#REF!</v>
      </c>
      <c r="DH10" s="105"/>
      <c r="DI10" s="106"/>
    </row>
    <row r="11" spans="1:113" s="29" customFormat="1" ht="48" x14ac:dyDescent="0.25">
      <c r="A11" s="3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11" s="109">
        <v>202510016</v>
      </c>
      <c r="C11" s="109" t="s">
        <v>123</v>
      </c>
      <c r="D11" s="108"/>
      <c r="E11" s="108" t="s">
        <v>36</v>
      </c>
      <c r="F11" s="46">
        <v>45968</v>
      </c>
      <c r="G11" s="46">
        <f t="shared" ref="G11:G14" si="167">F11+7</f>
        <v>45975</v>
      </c>
      <c r="H11" s="49">
        <f>IF(OR(K11="销项",K11="已上传",K11="退回"),1,IF(K11="待上传",0.7,IF(K11="已发校审未返",0.3,IF(OR(K11="需沟通",K11="退回"),0,-1))))</f>
        <v>1</v>
      </c>
      <c r="I11" s="47" t="s">
        <v>6</v>
      </c>
      <c r="J11" s="47" t="s">
        <v>144</v>
      </c>
      <c r="K11" s="47" t="s">
        <v>41</v>
      </c>
      <c r="L11" s="115" t="s">
        <v>42</v>
      </c>
      <c r="M11" s="48" t="str">
        <f>IF($I11=N$8,"t","")</f>
        <v/>
      </c>
      <c r="N11" s="77"/>
      <c r="O11" s="78" t="str">
        <f t="shared" ref="O11:BY11" si="168">IF($I11=O$8,"t","")</f>
        <v/>
      </c>
      <c r="P11" s="78" t="str">
        <f t="shared" si="168"/>
        <v/>
      </c>
      <c r="Q11" s="78" t="str">
        <f t="shared" si="168"/>
        <v/>
      </c>
      <c r="R11" s="78" t="str">
        <f t="shared" si="168"/>
        <v/>
      </c>
      <c r="S11" s="78" t="str">
        <f t="shared" si="168"/>
        <v/>
      </c>
      <c r="T11" s="79" t="str">
        <f t="shared" si="168"/>
        <v/>
      </c>
      <c r="U11" s="77" t="str">
        <f t="shared" si="168"/>
        <v/>
      </c>
      <c r="V11" s="78" t="str">
        <f t="shared" si="168"/>
        <v/>
      </c>
      <c r="W11" s="78" t="str">
        <f t="shared" si="168"/>
        <v/>
      </c>
      <c r="X11" s="78" t="str">
        <f t="shared" si="168"/>
        <v/>
      </c>
      <c r="Y11" s="78" t="str">
        <f t="shared" si="168"/>
        <v/>
      </c>
      <c r="Z11" s="78" t="str">
        <f t="shared" si="168"/>
        <v/>
      </c>
      <c r="AA11" s="79" t="str">
        <f t="shared" si="168"/>
        <v/>
      </c>
      <c r="AB11" s="77" t="str">
        <f t="shared" si="168"/>
        <v/>
      </c>
      <c r="AC11" s="78" t="str">
        <f t="shared" si="168"/>
        <v/>
      </c>
      <c r="AD11" s="78" t="str">
        <f t="shared" si="168"/>
        <v/>
      </c>
      <c r="AE11" s="78" t="str">
        <f t="shared" si="168"/>
        <v/>
      </c>
      <c r="AF11" s="78" t="str">
        <f t="shared" si="168"/>
        <v/>
      </c>
      <c r="AG11" s="78" t="str">
        <f t="shared" si="168"/>
        <v/>
      </c>
      <c r="AH11" s="79" t="str">
        <f t="shared" si="168"/>
        <v/>
      </c>
      <c r="AI11" s="77" t="str">
        <f t="shared" si="168"/>
        <v/>
      </c>
      <c r="AJ11" s="78" t="str">
        <f t="shared" si="168"/>
        <v/>
      </c>
      <c r="AK11" s="78" t="str">
        <f t="shared" si="168"/>
        <v/>
      </c>
      <c r="AL11" s="78" t="str">
        <f t="shared" si="168"/>
        <v/>
      </c>
      <c r="AM11" s="78" t="str">
        <f t="shared" si="168"/>
        <v/>
      </c>
      <c r="AN11" s="78" t="str">
        <f t="shared" si="168"/>
        <v/>
      </c>
      <c r="AO11" s="79" t="str">
        <f t="shared" si="168"/>
        <v/>
      </c>
      <c r="AP11" s="77" t="str">
        <f t="shared" si="168"/>
        <v/>
      </c>
      <c r="AQ11" s="78" t="str">
        <f t="shared" si="168"/>
        <v/>
      </c>
      <c r="AR11" s="78" t="str">
        <f t="shared" si="168"/>
        <v/>
      </c>
      <c r="AS11" s="78" t="str">
        <f t="shared" si="168"/>
        <v/>
      </c>
      <c r="AT11" s="78" t="str">
        <f t="shared" si="168"/>
        <v/>
      </c>
      <c r="AU11" s="78" t="str">
        <f t="shared" si="168"/>
        <v/>
      </c>
      <c r="AV11" s="79" t="str">
        <f t="shared" si="168"/>
        <v/>
      </c>
      <c r="AW11" s="77" t="str">
        <f t="shared" si="168"/>
        <v/>
      </c>
      <c r="AX11" s="78" t="str">
        <f t="shared" si="168"/>
        <v/>
      </c>
      <c r="AY11" s="78" t="str">
        <f t="shared" si="168"/>
        <v/>
      </c>
      <c r="AZ11" s="78" t="str">
        <f t="shared" si="168"/>
        <v/>
      </c>
      <c r="BA11" s="78" t="str">
        <f t="shared" si="168"/>
        <v/>
      </c>
      <c r="BB11" s="78" t="str">
        <f t="shared" si="168"/>
        <v/>
      </c>
      <c r="BC11" s="79" t="str">
        <f t="shared" si="168"/>
        <v/>
      </c>
      <c r="BD11" s="77" t="str">
        <f t="shared" si="168"/>
        <v/>
      </c>
      <c r="BE11" s="78" t="str">
        <f t="shared" si="168"/>
        <v/>
      </c>
      <c r="BF11" s="78" t="str">
        <f t="shared" si="168"/>
        <v/>
      </c>
      <c r="BG11" s="78" t="str">
        <f t="shared" si="168"/>
        <v/>
      </c>
      <c r="BH11" s="78" t="str">
        <f t="shared" si="168"/>
        <v/>
      </c>
      <c r="BI11" s="78" t="str">
        <f t="shared" si="168"/>
        <v/>
      </c>
      <c r="BJ11" s="79" t="str">
        <f t="shared" si="168"/>
        <v/>
      </c>
      <c r="BK11" s="77" t="str">
        <f t="shared" si="168"/>
        <v/>
      </c>
      <c r="BL11" s="78" t="str">
        <f t="shared" si="168"/>
        <v/>
      </c>
      <c r="BM11" s="78" t="str">
        <f t="shared" si="168"/>
        <v/>
      </c>
      <c r="BN11" s="78" t="str">
        <f t="shared" si="168"/>
        <v/>
      </c>
      <c r="BO11" s="78" t="str">
        <f t="shared" si="168"/>
        <v/>
      </c>
      <c r="BP11" s="78" t="str">
        <f t="shared" si="168"/>
        <v/>
      </c>
      <c r="BQ11" s="79" t="str">
        <f t="shared" si="168"/>
        <v/>
      </c>
      <c r="BR11" s="93" t="str">
        <f t="shared" si="168"/>
        <v/>
      </c>
      <c r="BS11" s="93" t="str">
        <f t="shared" si="168"/>
        <v/>
      </c>
      <c r="BT11" s="93" t="str">
        <f t="shared" si="168"/>
        <v/>
      </c>
      <c r="BU11" s="93" t="str">
        <f t="shared" si="168"/>
        <v/>
      </c>
      <c r="BV11" s="93" t="str">
        <f t="shared" si="168"/>
        <v/>
      </c>
      <c r="BW11" s="93" t="str">
        <f t="shared" si="168"/>
        <v/>
      </c>
      <c r="BX11" s="93" t="str">
        <f t="shared" si="168"/>
        <v/>
      </c>
      <c r="BY11" s="93" t="e">
        <f t="shared" si="168"/>
        <v>#REF!</v>
      </c>
      <c r="BZ11" s="93" t="e">
        <f t="shared" ref="BZ11:DG11" si="169">IF($I11=BZ$8,"t","")</f>
        <v>#REF!</v>
      </c>
      <c r="CA11" s="93" t="e">
        <f t="shared" si="169"/>
        <v>#REF!</v>
      </c>
      <c r="CB11" s="93" t="e">
        <f t="shared" si="169"/>
        <v>#REF!</v>
      </c>
      <c r="CC11" s="93" t="e">
        <f t="shared" si="169"/>
        <v>#REF!</v>
      </c>
      <c r="CD11" s="102" t="e">
        <f t="shared" si="169"/>
        <v>#REF!</v>
      </c>
      <c r="CE11" s="93" t="e">
        <f t="shared" si="169"/>
        <v>#REF!</v>
      </c>
      <c r="CF11" s="93" t="e">
        <f t="shared" si="169"/>
        <v>#REF!</v>
      </c>
      <c r="CG11" s="93" t="e">
        <f t="shared" si="169"/>
        <v>#REF!</v>
      </c>
      <c r="CH11" s="104" t="e">
        <f t="shared" si="169"/>
        <v>#REF!</v>
      </c>
      <c r="CI11" s="102" t="e">
        <f t="shared" si="169"/>
        <v>#REF!</v>
      </c>
      <c r="CJ11" s="93" t="e">
        <f t="shared" si="169"/>
        <v>#REF!</v>
      </c>
      <c r="CK11" s="93" t="e">
        <f t="shared" si="169"/>
        <v>#REF!</v>
      </c>
      <c r="CL11" s="93" t="e">
        <f t="shared" si="169"/>
        <v>#REF!</v>
      </c>
      <c r="CM11" s="104" t="e">
        <f t="shared" si="169"/>
        <v>#REF!</v>
      </c>
      <c r="CN11" s="102" t="e">
        <f t="shared" si="169"/>
        <v>#REF!</v>
      </c>
      <c r="CO11" s="93" t="e">
        <f t="shared" si="169"/>
        <v>#REF!</v>
      </c>
      <c r="CP11" s="93" t="e">
        <f t="shared" si="169"/>
        <v>#REF!</v>
      </c>
      <c r="CQ11" s="93" t="e">
        <f t="shared" si="169"/>
        <v>#REF!</v>
      </c>
      <c r="CR11" s="104" t="e">
        <f t="shared" si="169"/>
        <v>#REF!</v>
      </c>
      <c r="CS11" s="102" t="e">
        <f t="shared" si="169"/>
        <v>#REF!</v>
      </c>
      <c r="CT11" s="93" t="e">
        <f t="shared" si="169"/>
        <v>#REF!</v>
      </c>
      <c r="CU11" s="93" t="e">
        <f t="shared" si="169"/>
        <v>#REF!</v>
      </c>
      <c r="CV11" s="93" t="e">
        <f t="shared" si="169"/>
        <v>#REF!</v>
      </c>
      <c r="CW11" s="104" t="e">
        <f t="shared" si="169"/>
        <v>#REF!</v>
      </c>
      <c r="CX11" s="102" t="e">
        <f t="shared" si="169"/>
        <v>#REF!</v>
      </c>
      <c r="CY11" s="93" t="e">
        <f t="shared" si="169"/>
        <v>#REF!</v>
      </c>
      <c r="CZ11" s="93" t="e">
        <f t="shared" si="169"/>
        <v>#REF!</v>
      </c>
      <c r="DA11" s="93" t="e">
        <f t="shared" si="169"/>
        <v>#REF!</v>
      </c>
      <c r="DB11" s="104" t="e">
        <f t="shared" si="169"/>
        <v>#REF!</v>
      </c>
      <c r="DC11" s="102" t="e">
        <f t="shared" si="169"/>
        <v>#REF!</v>
      </c>
      <c r="DD11" s="93" t="e">
        <f t="shared" si="169"/>
        <v>#REF!</v>
      </c>
      <c r="DE11" s="93" t="e">
        <f t="shared" si="169"/>
        <v>#REF!</v>
      </c>
      <c r="DF11" s="93" t="e">
        <f t="shared" si="169"/>
        <v>#REF!</v>
      </c>
      <c r="DG11" s="104" t="e">
        <f t="shared" si="169"/>
        <v>#REF!</v>
      </c>
      <c r="DH11" s="107"/>
      <c r="DI11" s="106"/>
    </row>
    <row r="12" spans="1:113" s="29" customFormat="1" ht="26" x14ac:dyDescent="0.25">
      <c r="A12" s="37" t="str">
        <f t="shared" ref="A12" si="17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2" s="109">
        <v>202510031</v>
      </c>
      <c r="C12" s="109" t="s">
        <v>124</v>
      </c>
      <c r="D12" s="108"/>
      <c r="E12" s="108" t="s">
        <v>37</v>
      </c>
      <c r="F12" s="46">
        <v>45968</v>
      </c>
      <c r="G12" s="46">
        <f t="shared" si="167"/>
        <v>45975</v>
      </c>
      <c r="H12" s="49">
        <f t="shared" ref="H12:H30" si="171">IF(OR(K12="销项",K12="已上传",K12="退回"),1,IF(K12="待上传",0.7,IF(K12="已发校审未返",0.3,IF(OR(K12="需沟通",K12="退回"),0,-1))))</f>
        <v>1</v>
      </c>
      <c r="I12" s="47" t="s">
        <v>6</v>
      </c>
      <c r="J12" s="47" t="s">
        <v>144</v>
      </c>
      <c r="K12" s="47" t="s">
        <v>138</v>
      </c>
      <c r="L12" s="115"/>
      <c r="M12" s="48"/>
      <c r="N12" s="77" t="str">
        <f>IF($I12=N$8,"t","")</f>
        <v/>
      </c>
      <c r="O12" s="78" t="str">
        <f>IF($I12=O$8,"t","")</f>
        <v/>
      </c>
      <c r="P12" s="78" t="str">
        <f t="shared" ref="P12:AW12" si="172">IF($I12=P$8,"t","")</f>
        <v/>
      </c>
      <c r="Q12" s="78" t="str">
        <f t="shared" si="172"/>
        <v/>
      </c>
      <c r="R12" s="78" t="str">
        <f t="shared" si="172"/>
        <v/>
      </c>
      <c r="S12" s="78" t="str">
        <f t="shared" si="172"/>
        <v/>
      </c>
      <c r="T12" s="79" t="str">
        <f t="shared" si="172"/>
        <v/>
      </c>
      <c r="U12" s="77" t="str">
        <f t="shared" si="172"/>
        <v/>
      </c>
      <c r="V12" s="78" t="str">
        <f t="shared" si="172"/>
        <v/>
      </c>
      <c r="W12" s="78" t="str">
        <f t="shared" si="172"/>
        <v/>
      </c>
      <c r="X12" s="78" t="str">
        <f t="shared" si="172"/>
        <v/>
      </c>
      <c r="Y12" s="78" t="str">
        <f t="shared" si="172"/>
        <v/>
      </c>
      <c r="Z12" s="78" t="str">
        <f t="shared" si="172"/>
        <v/>
      </c>
      <c r="AA12" s="79" t="str">
        <f t="shared" si="172"/>
        <v/>
      </c>
      <c r="AB12" s="77" t="str">
        <f t="shared" si="172"/>
        <v/>
      </c>
      <c r="AC12" s="78" t="str">
        <f t="shared" si="172"/>
        <v/>
      </c>
      <c r="AD12" s="78" t="str">
        <f t="shared" si="172"/>
        <v/>
      </c>
      <c r="AE12" s="78" t="str">
        <f t="shared" si="172"/>
        <v/>
      </c>
      <c r="AF12" s="78" t="str">
        <f t="shared" si="172"/>
        <v/>
      </c>
      <c r="AG12" s="78" t="str">
        <f t="shared" si="172"/>
        <v/>
      </c>
      <c r="AH12" s="79" t="str">
        <f t="shared" si="172"/>
        <v/>
      </c>
      <c r="AI12" s="77" t="str">
        <f t="shared" si="172"/>
        <v/>
      </c>
      <c r="AJ12" s="78" t="str">
        <f t="shared" si="172"/>
        <v/>
      </c>
      <c r="AK12" s="78" t="str">
        <f t="shared" si="172"/>
        <v/>
      </c>
      <c r="AL12" s="78" t="str">
        <f t="shared" si="172"/>
        <v/>
      </c>
      <c r="AM12" s="78" t="str">
        <f t="shared" si="172"/>
        <v/>
      </c>
      <c r="AN12" s="78" t="str">
        <f t="shared" si="172"/>
        <v/>
      </c>
      <c r="AO12" s="79" t="str">
        <f t="shared" si="172"/>
        <v/>
      </c>
      <c r="AP12" s="77" t="str">
        <f t="shared" si="172"/>
        <v/>
      </c>
      <c r="AQ12" s="78" t="str">
        <f t="shared" si="172"/>
        <v/>
      </c>
      <c r="AR12" s="78" t="str">
        <f t="shared" si="172"/>
        <v/>
      </c>
      <c r="AS12" s="78" t="str">
        <f t="shared" si="172"/>
        <v/>
      </c>
      <c r="AT12" s="78" t="str">
        <f t="shared" si="172"/>
        <v/>
      </c>
      <c r="AU12" s="78" t="str">
        <f t="shared" si="172"/>
        <v/>
      </c>
      <c r="AV12" s="79" t="str">
        <f t="shared" si="172"/>
        <v/>
      </c>
      <c r="AW12" s="77" t="str">
        <f t="shared" si="172"/>
        <v/>
      </c>
      <c r="AX12" s="78" t="str">
        <f t="shared" ref="AX12:BG12" si="173">IF($I12=AX$8,"t","")</f>
        <v/>
      </c>
      <c r="AY12" s="78" t="str">
        <f t="shared" si="173"/>
        <v/>
      </c>
      <c r="AZ12" s="78" t="str">
        <f t="shared" si="173"/>
        <v/>
      </c>
      <c r="BA12" s="78" t="str">
        <f t="shared" si="173"/>
        <v/>
      </c>
      <c r="BB12" s="78" t="str">
        <f t="shared" si="173"/>
        <v/>
      </c>
      <c r="BC12" s="79" t="str">
        <f t="shared" si="173"/>
        <v/>
      </c>
      <c r="BD12" s="77" t="str">
        <f t="shared" si="173"/>
        <v/>
      </c>
      <c r="BE12" s="78" t="str">
        <f t="shared" si="173"/>
        <v/>
      </c>
      <c r="BF12" s="78" t="str">
        <f t="shared" si="173"/>
        <v/>
      </c>
      <c r="BG12" s="78" t="str">
        <f t="shared" si="173"/>
        <v/>
      </c>
      <c r="BH12" s="78" t="str">
        <f t="shared" ref="BH12:BQ12" si="174">IF($I12=BH$8,"t","")</f>
        <v/>
      </c>
      <c r="BI12" s="78" t="str">
        <f t="shared" si="174"/>
        <v/>
      </c>
      <c r="BJ12" s="79" t="str">
        <f t="shared" si="174"/>
        <v/>
      </c>
      <c r="BK12" s="77" t="str">
        <f t="shared" si="174"/>
        <v/>
      </c>
      <c r="BL12" s="78" t="str">
        <f t="shared" si="174"/>
        <v/>
      </c>
      <c r="BM12" s="78" t="str">
        <f t="shared" si="174"/>
        <v/>
      </c>
      <c r="BN12" s="78" t="str">
        <f t="shared" si="174"/>
        <v/>
      </c>
      <c r="BO12" s="78" t="str">
        <f t="shared" si="174"/>
        <v/>
      </c>
      <c r="BP12" s="78" t="str">
        <f t="shared" si="174"/>
        <v/>
      </c>
      <c r="BQ12" s="79" t="str">
        <f t="shared" si="174"/>
        <v/>
      </c>
      <c r="BR12" s="93" t="str">
        <f t="shared" ref="BR12:CA12" si="175">IF($I12=BR$8,"t","")</f>
        <v/>
      </c>
      <c r="BS12" s="93" t="str">
        <f t="shared" si="175"/>
        <v/>
      </c>
      <c r="BT12" s="93" t="str">
        <f t="shared" si="175"/>
        <v/>
      </c>
      <c r="BU12" s="93" t="str">
        <f t="shared" si="175"/>
        <v/>
      </c>
      <c r="BV12" s="93" t="str">
        <f t="shared" si="175"/>
        <v/>
      </c>
      <c r="BW12" s="93" t="str">
        <f t="shared" si="175"/>
        <v/>
      </c>
      <c r="BX12" s="93" t="str">
        <f t="shared" si="175"/>
        <v/>
      </c>
      <c r="BY12" s="93" t="e">
        <f t="shared" si="175"/>
        <v>#REF!</v>
      </c>
      <c r="BZ12" s="93" t="e">
        <f t="shared" si="175"/>
        <v>#REF!</v>
      </c>
      <c r="CA12" s="93" t="e">
        <f t="shared" si="175"/>
        <v>#REF!</v>
      </c>
      <c r="CB12" s="93" t="e">
        <f t="shared" ref="CB12:DG12" si="176">IF($I12=CB$8,"t","")</f>
        <v>#REF!</v>
      </c>
      <c r="CC12" s="93" t="e">
        <f t="shared" si="176"/>
        <v>#REF!</v>
      </c>
      <c r="CD12" s="102" t="e">
        <f t="shared" si="176"/>
        <v>#REF!</v>
      </c>
      <c r="CE12" s="93" t="e">
        <f t="shared" si="176"/>
        <v>#REF!</v>
      </c>
      <c r="CF12" s="93" t="e">
        <f t="shared" si="176"/>
        <v>#REF!</v>
      </c>
      <c r="CG12" s="93" t="e">
        <f t="shared" si="176"/>
        <v>#REF!</v>
      </c>
      <c r="CH12" s="104" t="e">
        <f t="shared" si="176"/>
        <v>#REF!</v>
      </c>
      <c r="CI12" s="102" t="e">
        <f t="shared" si="176"/>
        <v>#REF!</v>
      </c>
      <c r="CJ12" s="93" t="e">
        <f t="shared" si="176"/>
        <v>#REF!</v>
      </c>
      <c r="CK12" s="93" t="e">
        <f t="shared" si="176"/>
        <v>#REF!</v>
      </c>
      <c r="CL12" s="93" t="e">
        <f t="shared" si="176"/>
        <v>#REF!</v>
      </c>
      <c r="CM12" s="104" t="e">
        <f t="shared" si="176"/>
        <v>#REF!</v>
      </c>
      <c r="CN12" s="102" t="e">
        <f t="shared" si="176"/>
        <v>#REF!</v>
      </c>
      <c r="CO12" s="93" t="e">
        <f t="shared" si="176"/>
        <v>#REF!</v>
      </c>
      <c r="CP12" s="93" t="e">
        <f t="shared" si="176"/>
        <v>#REF!</v>
      </c>
      <c r="CQ12" s="93" t="e">
        <f t="shared" si="176"/>
        <v>#REF!</v>
      </c>
      <c r="CR12" s="104" t="e">
        <f t="shared" si="176"/>
        <v>#REF!</v>
      </c>
      <c r="CS12" s="102" t="e">
        <f t="shared" si="176"/>
        <v>#REF!</v>
      </c>
      <c r="CT12" s="93" t="e">
        <f t="shared" si="176"/>
        <v>#REF!</v>
      </c>
      <c r="CU12" s="93" t="e">
        <f t="shared" si="176"/>
        <v>#REF!</v>
      </c>
      <c r="CV12" s="93" t="e">
        <f t="shared" si="176"/>
        <v>#REF!</v>
      </c>
      <c r="CW12" s="104" t="e">
        <f t="shared" si="176"/>
        <v>#REF!</v>
      </c>
      <c r="CX12" s="102" t="e">
        <f t="shared" si="176"/>
        <v>#REF!</v>
      </c>
      <c r="CY12" s="93" t="e">
        <f t="shared" si="176"/>
        <v>#REF!</v>
      </c>
      <c r="CZ12" s="93" t="e">
        <f t="shared" si="176"/>
        <v>#REF!</v>
      </c>
      <c r="DA12" s="93" t="e">
        <f t="shared" si="176"/>
        <v>#REF!</v>
      </c>
      <c r="DB12" s="104" t="e">
        <f t="shared" si="176"/>
        <v>#REF!</v>
      </c>
      <c r="DC12" s="102" t="e">
        <f t="shared" si="176"/>
        <v>#REF!</v>
      </c>
      <c r="DD12" s="93" t="e">
        <f t="shared" si="176"/>
        <v>#REF!</v>
      </c>
      <c r="DE12" s="93" t="e">
        <f t="shared" si="176"/>
        <v>#REF!</v>
      </c>
      <c r="DF12" s="93" t="e">
        <f t="shared" si="176"/>
        <v>#REF!</v>
      </c>
      <c r="DG12" s="104" t="e">
        <f t="shared" si="176"/>
        <v>#REF!</v>
      </c>
      <c r="DH12" s="107"/>
      <c r="DI12" s="106"/>
    </row>
    <row r="13" spans="1:113" s="29" customFormat="1" ht="48" x14ac:dyDescent="0.25">
      <c r="A13" s="37" t="str">
        <f t="shared" ref="A13:A48" si="17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3" s="109">
        <v>202510101</v>
      </c>
      <c r="C13" s="109" t="s">
        <v>125</v>
      </c>
      <c r="D13" s="108"/>
      <c r="E13" s="108" t="s">
        <v>38</v>
      </c>
      <c r="F13" s="46">
        <v>45968</v>
      </c>
      <c r="G13" s="46">
        <f t="shared" si="167"/>
        <v>45975</v>
      </c>
      <c r="H13" s="49">
        <f t="shared" si="171"/>
        <v>1</v>
      </c>
      <c r="I13" s="47" t="s">
        <v>6</v>
      </c>
      <c r="J13" s="47" t="s">
        <v>43</v>
      </c>
      <c r="K13" s="47" t="s">
        <v>43</v>
      </c>
      <c r="L13" s="115" t="s">
        <v>44</v>
      </c>
      <c r="M13" s="48"/>
      <c r="N13" s="77" t="str">
        <f t="shared" ref="N13:BY17" si="178">IF($I13=N$8,"t","")</f>
        <v/>
      </c>
      <c r="O13" s="78" t="str">
        <f t="shared" si="178"/>
        <v/>
      </c>
      <c r="P13" s="78" t="str">
        <f t="shared" si="178"/>
        <v/>
      </c>
      <c r="Q13" s="78" t="str">
        <f t="shared" si="178"/>
        <v/>
      </c>
      <c r="R13" s="78" t="str">
        <f t="shared" si="178"/>
        <v/>
      </c>
      <c r="S13" s="78" t="str">
        <f t="shared" si="178"/>
        <v/>
      </c>
      <c r="T13" s="79" t="str">
        <f t="shared" si="178"/>
        <v/>
      </c>
      <c r="U13" s="77" t="str">
        <f t="shared" si="178"/>
        <v/>
      </c>
      <c r="V13" s="78" t="str">
        <f t="shared" si="178"/>
        <v/>
      </c>
      <c r="W13" s="78" t="str">
        <f t="shared" si="178"/>
        <v/>
      </c>
      <c r="X13" s="78" t="str">
        <f t="shared" si="178"/>
        <v/>
      </c>
      <c r="Y13" s="78" t="str">
        <f t="shared" si="178"/>
        <v/>
      </c>
      <c r="Z13" s="78" t="str">
        <f t="shared" si="178"/>
        <v/>
      </c>
      <c r="AA13" s="79" t="str">
        <f t="shared" si="178"/>
        <v/>
      </c>
      <c r="AB13" s="77" t="str">
        <f t="shared" si="178"/>
        <v/>
      </c>
      <c r="AC13" s="78" t="str">
        <f t="shared" si="178"/>
        <v/>
      </c>
      <c r="AD13" s="78" t="str">
        <f t="shared" si="178"/>
        <v/>
      </c>
      <c r="AE13" s="78" t="str">
        <f t="shared" si="178"/>
        <v/>
      </c>
      <c r="AF13" s="78" t="str">
        <f t="shared" si="178"/>
        <v/>
      </c>
      <c r="AG13" s="78" t="str">
        <f t="shared" si="178"/>
        <v/>
      </c>
      <c r="AH13" s="79" t="str">
        <f t="shared" si="178"/>
        <v/>
      </c>
      <c r="AI13" s="77" t="str">
        <f t="shared" si="178"/>
        <v/>
      </c>
      <c r="AJ13" s="78" t="str">
        <f t="shared" si="178"/>
        <v/>
      </c>
      <c r="AK13" s="78" t="str">
        <f t="shared" si="178"/>
        <v/>
      </c>
      <c r="AL13" s="78" t="str">
        <f t="shared" si="178"/>
        <v/>
      </c>
      <c r="AM13" s="78" t="str">
        <f t="shared" si="178"/>
        <v/>
      </c>
      <c r="AN13" s="78" t="str">
        <f t="shared" si="178"/>
        <v/>
      </c>
      <c r="AO13" s="79" t="str">
        <f t="shared" si="178"/>
        <v/>
      </c>
      <c r="AP13" s="77" t="str">
        <f t="shared" si="178"/>
        <v/>
      </c>
      <c r="AQ13" s="78" t="str">
        <f t="shared" si="178"/>
        <v/>
      </c>
      <c r="AR13" s="78" t="str">
        <f t="shared" si="178"/>
        <v/>
      </c>
      <c r="AS13" s="78" t="str">
        <f t="shared" si="178"/>
        <v/>
      </c>
      <c r="AT13" s="78" t="str">
        <f t="shared" si="178"/>
        <v/>
      </c>
      <c r="AU13" s="78" t="str">
        <f t="shared" si="178"/>
        <v/>
      </c>
      <c r="AV13" s="79" t="str">
        <f t="shared" si="178"/>
        <v/>
      </c>
      <c r="AW13" s="77" t="str">
        <f t="shared" si="178"/>
        <v/>
      </c>
      <c r="AX13" s="78" t="str">
        <f t="shared" si="178"/>
        <v/>
      </c>
      <c r="AY13" s="78" t="str">
        <f t="shared" si="178"/>
        <v/>
      </c>
      <c r="AZ13" s="78" t="str">
        <f t="shared" si="178"/>
        <v/>
      </c>
      <c r="BA13" s="78" t="str">
        <f t="shared" si="178"/>
        <v/>
      </c>
      <c r="BB13" s="78" t="str">
        <f t="shared" si="178"/>
        <v/>
      </c>
      <c r="BC13" s="79" t="str">
        <f t="shared" si="178"/>
        <v/>
      </c>
      <c r="BD13" s="77" t="str">
        <f t="shared" si="178"/>
        <v/>
      </c>
      <c r="BE13" s="78" t="str">
        <f t="shared" si="178"/>
        <v/>
      </c>
      <c r="BF13" s="78" t="str">
        <f t="shared" si="178"/>
        <v/>
      </c>
      <c r="BG13" s="78" t="str">
        <f t="shared" si="178"/>
        <v/>
      </c>
      <c r="BH13" s="78" t="str">
        <f t="shared" si="178"/>
        <v/>
      </c>
      <c r="BI13" s="78" t="str">
        <f t="shared" si="178"/>
        <v/>
      </c>
      <c r="BJ13" s="79" t="str">
        <f t="shared" si="178"/>
        <v/>
      </c>
      <c r="BK13" s="77" t="str">
        <f t="shared" si="178"/>
        <v/>
      </c>
      <c r="BL13" s="78" t="str">
        <f t="shared" si="178"/>
        <v/>
      </c>
      <c r="BM13" s="78" t="str">
        <f t="shared" si="178"/>
        <v/>
      </c>
      <c r="BN13" s="78" t="str">
        <f t="shared" si="178"/>
        <v/>
      </c>
      <c r="BO13" s="78" t="str">
        <f t="shared" si="178"/>
        <v/>
      </c>
      <c r="BP13" s="78" t="str">
        <f t="shared" si="178"/>
        <v/>
      </c>
      <c r="BQ13" s="79" t="str">
        <f t="shared" si="178"/>
        <v/>
      </c>
      <c r="BR13" s="93" t="str">
        <f t="shared" si="178"/>
        <v/>
      </c>
      <c r="BS13" s="93" t="str">
        <f t="shared" si="178"/>
        <v/>
      </c>
      <c r="BT13" s="93" t="str">
        <f t="shared" si="178"/>
        <v/>
      </c>
      <c r="BU13" s="93" t="str">
        <f t="shared" si="178"/>
        <v/>
      </c>
      <c r="BV13" s="93" t="str">
        <f t="shared" si="178"/>
        <v/>
      </c>
      <c r="BW13" s="93" t="str">
        <f t="shared" si="178"/>
        <v/>
      </c>
      <c r="BX13" s="93" t="str">
        <f t="shared" si="178"/>
        <v/>
      </c>
      <c r="BY13" s="93" t="e">
        <f t="shared" si="178"/>
        <v>#REF!</v>
      </c>
      <c r="BZ13" s="93" t="e">
        <f t="shared" ref="BZ13:DG17" si="179">IF($I13=BZ$8,"t","")</f>
        <v>#REF!</v>
      </c>
      <c r="CA13" s="93" t="e">
        <f t="shared" si="179"/>
        <v>#REF!</v>
      </c>
      <c r="CB13" s="93" t="e">
        <f t="shared" si="179"/>
        <v>#REF!</v>
      </c>
      <c r="CC13" s="93" t="e">
        <f t="shared" si="179"/>
        <v>#REF!</v>
      </c>
      <c r="CD13" s="102" t="e">
        <f t="shared" si="179"/>
        <v>#REF!</v>
      </c>
      <c r="CE13" s="93" t="e">
        <f t="shared" si="179"/>
        <v>#REF!</v>
      </c>
      <c r="CF13" s="93" t="e">
        <f t="shared" si="179"/>
        <v>#REF!</v>
      </c>
      <c r="CG13" s="93" t="e">
        <f t="shared" si="179"/>
        <v>#REF!</v>
      </c>
      <c r="CH13" s="104" t="e">
        <f t="shared" si="179"/>
        <v>#REF!</v>
      </c>
      <c r="CI13" s="102" t="e">
        <f t="shared" si="179"/>
        <v>#REF!</v>
      </c>
      <c r="CJ13" s="93" t="e">
        <f t="shared" si="179"/>
        <v>#REF!</v>
      </c>
      <c r="CK13" s="93" t="e">
        <f t="shared" si="179"/>
        <v>#REF!</v>
      </c>
      <c r="CL13" s="93" t="e">
        <f t="shared" si="179"/>
        <v>#REF!</v>
      </c>
      <c r="CM13" s="104" t="e">
        <f t="shared" si="179"/>
        <v>#REF!</v>
      </c>
      <c r="CN13" s="102" t="e">
        <f t="shared" si="179"/>
        <v>#REF!</v>
      </c>
      <c r="CO13" s="93" t="e">
        <f t="shared" si="179"/>
        <v>#REF!</v>
      </c>
      <c r="CP13" s="93" t="e">
        <f t="shared" si="179"/>
        <v>#REF!</v>
      </c>
      <c r="CQ13" s="93" t="e">
        <f t="shared" si="179"/>
        <v>#REF!</v>
      </c>
      <c r="CR13" s="104" t="e">
        <f t="shared" si="179"/>
        <v>#REF!</v>
      </c>
      <c r="CS13" s="102" t="e">
        <f t="shared" si="179"/>
        <v>#REF!</v>
      </c>
      <c r="CT13" s="93" t="e">
        <f t="shared" si="179"/>
        <v>#REF!</v>
      </c>
      <c r="CU13" s="93" t="e">
        <f t="shared" si="179"/>
        <v>#REF!</v>
      </c>
      <c r="CV13" s="93" t="e">
        <f t="shared" si="179"/>
        <v>#REF!</v>
      </c>
      <c r="CW13" s="104" t="e">
        <f t="shared" si="179"/>
        <v>#REF!</v>
      </c>
      <c r="CX13" s="102" t="e">
        <f t="shared" si="179"/>
        <v>#REF!</v>
      </c>
      <c r="CY13" s="93" t="e">
        <f t="shared" si="179"/>
        <v>#REF!</v>
      </c>
      <c r="CZ13" s="93" t="e">
        <f t="shared" si="179"/>
        <v>#REF!</v>
      </c>
      <c r="DA13" s="93" t="e">
        <f t="shared" si="179"/>
        <v>#REF!</v>
      </c>
      <c r="DB13" s="104" t="e">
        <f t="shared" si="179"/>
        <v>#REF!</v>
      </c>
      <c r="DC13" s="102" t="e">
        <f t="shared" si="179"/>
        <v>#REF!</v>
      </c>
      <c r="DD13" s="93" t="e">
        <f t="shared" si="179"/>
        <v>#REF!</v>
      </c>
      <c r="DE13" s="93" t="e">
        <f t="shared" si="179"/>
        <v>#REF!</v>
      </c>
      <c r="DF13" s="93" t="e">
        <f t="shared" si="179"/>
        <v>#REF!</v>
      </c>
      <c r="DG13" s="104" t="e">
        <f t="shared" si="179"/>
        <v>#REF!</v>
      </c>
      <c r="DH13" s="107"/>
      <c r="DI13" s="106"/>
    </row>
    <row r="14" spans="1:113" s="29" customFormat="1" ht="36" x14ac:dyDescent="0.25">
      <c r="A14" s="37" t="str">
        <f t="shared" si="177"/>
        <v>1.4</v>
      </c>
      <c r="B14" s="109">
        <v>202510163</v>
      </c>
      <c r="C14" s="109" t="s">
        <v>126</v>
      </c>
      <c r="D14" s="108"/>
      <c r="E14" s="108" t="s">
        <v>39</v>
      </c>
      <c r="F14" s="46">
        <v>45968</v>
      </c>
      <c r="G14" s="46">
        <f t="shared" si="167"/>
        <v>45975</v>
      </c>
      <c r="H14" s="49">
        <f t="shared" si="171"/>
        <v>1</v>
      </c>
      <c r="I14" s="47" t="s">
        <v>6</v>
      </c>
      <c r="J14" s="47" t="s">
        <v>41</v>
      </c>
      <c r="K14" s="47" t="s">
        <v>41</v>
      </c>
      <c r="L14" s="115" t="s">
        <v>45</v>
      </c>
      <c r="M14" s="48"/>
      <c r="N14" s="77" t="str">
        <f t="shared" si="178"/>
        <v/>
      </c>
      <c r="O14" s="78" t="str">
        <f t="shared" si="178"/>
        <v/>
      </c>
      <c r="P14" s="78" t="str">
        <f t="shared" si="178"/>
        <v/>
      </c>
      <c r="Q14" s="78" t="str">
        <f t="shared" si="178"/>
        <v/>
      </c>
      <c r="R14" s="78" t="str">
        <f t="shared" si="178"/>
        <v/>
      </c>
      <c r="S14" s="78" t="str">
        <f t="shared" si="178"/>
        <v/>
      </c>
      <c r="T14" s="79" t="str">
        <f t="shared" si="178"/>
        <v/>
      </c>
      <c r="U14" s="77" t="str">
        <f t="shared" si="178"/>
        <v/>
      </c>
      <c r="V14" s="78" t="str">
        <f t="shared" si="178"/>
        <v/>
      </c>
      <c r="W14" s="78" t="str">
        <f t="shared" si="178"/>
        <v/>
      </c>
      <c r="X14" s="78" t="str">
        <f t="shared" si="178"/>
        <v/>
      </c>
      <c r="Y14" s="78" t="str">
        <f t="shared" si="178"/>
        <v/>
      </c>
      <c r="Z14" s="78" t="str">
        <f t="shared" si="178"/>
        <v/>
      </c>
      <c r="AA14" s="79" t="str">
        <f t="shared" si="178"/>
        <v/>
      </c>
      <c r="AB14" s="77" t="str">
        <f t="shared" si="178"/>
        <v/>
      </c>
      <c r="AC14" s="78" t="str">
        <f t="shared" si="178"/>
        <v/>
      </c>
      <c r="AD14" s="78" t="str">
        <f t="shared" si="178"/>
        <v/>
      </c>
      <c r="AE14" s="78" t="str">
        <f t="shared" si="178"/>
        <v/>
      </c>
      <c r="AF14" s="78" t="str">
        <f t="shared" si="178"/>
        <v/>
      </c>
      <c r="AG14" s="78" t="str">
        <f t="shared" si="178"/>
        <v/>
      </c>
      <c r="AH14" s="79" t="str">
        <f t="shared" si="178"/>
        <v/>
      </c>
      <c r="AI14" s="77" t="str">
        <f t="shared" si="178"/>
        <v/>
      </c>
      <c r="AJ14" s="78" t="str">
        <f t="shared" si="178"/>
        <v/>
      </c>
      <c r="AK14" s="78" t="str">
        <f t="shared" si="178"/>
        <v/>
      </c>
      <c r="AL14" s="78" t="str">
        <f t="shared" si="178"/>
        <v/>
      </c>
      <c r="AM14" s="78" t="str">
        <f t="shared" si="178"/>
        <v/>
      </c>
      <c r="AN14" s="78" t="str">
        <f t="shared" si="178"/>
        <v/>
      </c>
      <c r="AO14" s="79" t="str">
        <f t="shared" si="178"/>
        <v/>
      </c>
      <c r="AP14" s="77" t="str">
        <f t="shared" si="178"/>
        <v/>
      </c>
      <c r="AQ14" s="78" t="str">
        <f t="shared" si="178"/>
        <v/>
      </c>
      <c r="AR14" s="78" t="str">
        <f t="shared" si="178"/>
        <v/>
      </c>
      <c r="AS14" s="78" t="str">
        <f t="shared" si="178"/>
        <v/>
      </c>
      <c r="AT14" s="78" t="str">
        <f t="shared" si="178"/>
        <v/>
      </c>
      <c r="AU14" s="78" t="str">
        <f t="shared" si="178"/>
        <v/>
      </c>
      <c r="AV14" s="79" t="str">
        <f t="shared" si="178"/>
        <v/>
      </c>
      <c r="AW14" s="77" t="str">
        <f t="shared" si="178"/>
        <v/>
      </c>
      <c r="AX14" s="78" t="str">
        <f t="shared" si="178"/>
        <v/>
      </c>
      <c r="AY14" s="78" t="str">
        <f t="shared" si="178"/>
        <v/>
      </c>
      <c r="AZ14" s="78" t="str">
        <f t="shared" si="178"/>
        <v/>
      </c>
      <c r="BA14" s="78" t="str">
        <f t="shared" si="178"/>
        <v/>
      </c>
      <c r="BB14" s="78" t="str">
        <f t="shared" si="178"/>
        <v/>
      </c>
      <c r="BC14" s="79" t="str">
        <f t="shared" si="178"/>
        <v/>
      </c>
      <c r="BD14" s="77" t="str">
        <f t="shared" si="178"/>
        <v/>
      </c>
      <c r="BE14" s="78" t="str">
        <f t="shared" si="178"/>
        <v/>
      </c>
      <c r="BF14" s="78" t="str">
        <f t="shared" si="178"/>
        <v/>
      </c>
      <c r="BG14" s="78" t="str">
        <f t="shared" si="178"/>
        <v/>
      </c>
      <c r="BH14" s="78" t="str">
        <f t="shared" si="178"/>
        <v/>
      </c>
      <c r="BI14" s="78" t="str">
        <f t="shared" si="178"/>
        <v/>
      </c>
      <c r="BJ14" s="79" t="str">
        <f t="shared" si="178"/>
        <v/>
      </c>
      <c r="BK14" s="77" t="str">
        <f t="shared" si="178"/>
        <v/>
      </c>
      <c r="BL14" s="78" t="str">
        <f t="shared" si="178"/>
        <v/>
      </c>
      <c r="BM14" s="78" t="str">
        <f t="shared" si="178"/>
        <v/>
      </c>
      <c r="BN14" s="78" t="str">
        <f t="shared" si="178"/>
        <v/>
      </c>
      <c r="BO14" s="78" t="str">
        <f t="shared" si="178"/>
        <v/>
      </c>
      <c r="BP14" s="78" t="str">
        <f t="shared" si="178"/>
        <v/>
      </c>
      <c r="BQ14" s="79" t="str">
        <f t="shared" si="178"/>
        <v/>
      </c>
      <c r="BR14" s="93" t="str">
        <f t="shared" si="178"/>
        <v/>
      </c>
      <c r="BS14" s="93" t="str">
        <f t="shared" si="178"/>
        <v/>
      </c>
      <c r="BT14" s="93" t="str">
        <f t="shared" si="178"/>
        <v/>
      </c>
      <c r="BU14" s="93" t="str">
        <f t="shared" si="178"/>
        <v/>
      </c>
      <c r="BV14" s="93" t="str">
        <f t="shared" si="178"/>
        <v/>
      </c>
      <c r="BW14" s="93" t="str">
        <f t="shared" si="178"/>
        <v/>
      </c>
      <c r="BX14" s="93" t="str">
        <f t="shared" si="178"/>
        <v/>
      </c>
      <c r="BY14" s="93" t="e">
        <f t="shared" si="178"/>
        <v>#REF!</v>
      </c>
      <c r="BZ14" s="93" t="e">
        <f t="shared" si="179"/>
        <v>#REF!</v>
      </c>
      <c r="CA14" s="93" t="e">
        <f t="shared" si="179"/>
        <v>#REF!</v>
      </c>
      <c r="CB14" s="93" t="e">
        <f t="shared" si="179"/>
        <v>#REF!</v>
      </c>
      <c r="CC14" s="93" t="e">
        <f t="shared" si="179"/>
        <v>#REF!</v>
      </c>
      <c r="CD14" s="102" t="e">
        <f t="shared" si="179"/>
        <v>#REF!</v>
      </c>
      <c r="CE14" s="93" t="e">
        <f t="shared" si="179"/>
        <v>#REF!</v>
      </c>
      <c r="CF14" s="93" t="e">
        <f t="shared" si="179"/>
        <v>#REF!</v>
      </c>
      <c r="CG14" s="93" t="e">
        <f t="shared" si="179"/>
        <v>#REF!</v>
      </c>
      <c r="CH14" s="104" t="e">
        <f t="shared" si="179"/>
        <v>#REF!</v>
      </c>
      <c r="CI14" s="102" t="e">
        <f t="shared" si="179"/>
        <v>#REF!</v>
      </c>
      <c r="CJ14" s="93" t="e">
        <f t="shared" si="179"/>
        <v>#REF!</v>
      </c>
      <c r="CK14" s="93" t="e">
        <f t="shared" si="179"/>
        <v>#REF!</v>
      </c>
      <c r="CL14" s="93" t="e">
        <f t="shared" si="179"/>
        <v>#REF!</v>
      </c>
      <c r="CM14" s="104" t="e">
        <f t="shared" si="179"/>
        <v>#REF!</v>
      </c>
      <c r="CN14" s="102" t="e">
        <f t="shared" si="179"/>
        <v>#REF!</v>
      </c>
      <c r="CO14" s="93" t="e">
        <f t="shared" si="179"/>
        <v>#REF!</v>
      </c>
      <c r="CP14" s="93" t="e">
        <f t="shared" si="179"/>
        <v>#REF!</v>
      </c>
      <c r="CQ14" s="93" t="e">
        <f t="shared" si="179"/>
        <v>#REF!</v>
      </c>
      <c r="CR14" s="104" t="e">
        <f t="shared" si="179"/>
        <v>#REF!</v>
      </c>
      <c r="CS14" s="102" t="e">
        <f t="shared" si="179"/>
        <v>#REF!</v>
      </c>
      <c r="CT14" s="93" t="e">
        <f t="shared" si="179"/>
        <v>#REF!</v>
      </c>
      <c r="CU14" s="93" t="e">
        <f t="shared" si="179"/>
        <v>#REF!</v>
      </c>
      <c r="CV14" s="93" t="e">
        <f t="shared" si="179"/>
        <v>#REF!</v>
      </c>
      <c r="CW14" s="104" t="e">
        <f t="shared" si="179"/>
        <v>#REF!</v>
      </c>
      <c r="CX14" s="102" t="e">
        <f t="shared" si="179"/>
        <v>#REF!</v>
      </c>
      <c r="CY14" s="93" t="e">
        <f t="shared" si="179"/>
        <v>#REF!</v>
      </c>
      <c r="CZ14" s="93" t="e">
        <f t="shared" si="179"/>
        <v>#REF!</v>
      </c>
      <c r="DA14" s="93" t="e">
        <f t="shared" si="179"/>
        <v>#REF!</v>
      </c>
      <c r="DB14" s="104" t="e">
        <f t="shared" si="179"/>
        <v>#REF!</v>
      </c>
      <c r="DC14" s="102" t="e">
        <f t="shared" si="179"/>
        <v>#REF!</v>
      </c>
      <c r="DD14" s="93" t="e">
        <f t="shared" si="179"/>
        <v>#REF!</v>
      </c>
      <c r="DE14" s="93" t="e">
        <f t="shared" si="179"/>
        <v>#REF!</v>
      </c>
      <c r="DF14" s="93" t="e">
        <f t="shared" si="179"/>
        <v>#REF!</v>
      </c>
      <c r="DG14" s="104" t="e">
        <f t="shared" si="179"/>
        <v>#REF!</v>
      </c>
      <c r="DH14" s="107"/>
      <c r="DI14" s="106"/>
    </row>
    <row r="15" spans="1:113" s="29" customFormat="1" ht="39" x14ac:dyDescent="0.25">
      <c r="A15" s="37" t="str">
        <f t="shared" si="177"/>
        <v>1.5</v>
      </c>
      <c r="B15" s="109">
        <v>20240200501</v>
      </c>
      <c r="C15" s="109" t="s">
        <v>127</v>
      </c>
      <c r="D15" s="108"/>
      <c r="E15" s="108" t="s">
        <v>47</v>
      </c>
      <c r="F15" s="46">
        <v>45968</v>
      </c>
      <c r="G15" s="46">
        <f>F15+7</f>
        <v>45975</v>
      </c>
      <c r="H15" s="49">
        <f t="shared" si="171"/>
        <v>1</v>
      </c>
      <c r="I15" s="47" t="s">
        <v>6</v>
      </c>
      <c r="J15" s="47" t="s">
        <v>144</v>
      </c>
      <c r="K15" s="47" t="s">
        <v>138</v>
      </c>
      <c r="L15" s="115"/>
      <c r="M15" s="48"/>
      <c r="N15" s="77" t="str">
        <f t="shared" ref="N15:AS15" si="180">IF($I15=N$8,"t","")</f>
        <v/>
      </c>
      <c r="O15" s="78" t="str">
        <f t="shared" si="180"/>
        <v/>
      </c>
      <c r="P15" s="78" t="str">
        <f t="shared" si="180"/>
        <v/>
      </c>
      <c r="Q15" s="78" t="str">
        <f t="shared" si="180"/>
        <v/>
      </c>
      <c r="R15" s="78" t="str">
        <f t="shared" si="180"/>
        <v/>
      </c>
      <c r="S15" s="78" t="str">
        <f t="shared" si="180"/>
        <v/>
      </c>
      <c r="T15" s="79" t="str">
        <f t="shared" si="180"/>
        <v/>
      </c>
      <c r="U15" s="77" t="str">
        <f t="shared" si="180"/>
        <v/>
      </c>
      <c r="V15" s="78" t="str">
        <f t="shared" si="180"/>
        <v/>
      </c>
      <c r="W15" s="78" t="str">
        <f t="shared" si="180"/>
        <v/>
      </c>
      <c r="X15" s="78" t="str">
        <f t="shared" si="180"/>
        <v/>
      </c>
      <c r="Y15" s="78" t="str">
        <f t="shared" si="180"/>
        <v/>
      </c>
      <c r="Z15" s="78" t="str">
        <f t="shared" si="180"/>
        <v/>
      </c>
      <c r="AA15" s="79" t="str">
        <f t="shared" si="180"/>
        <v/>
      </c>
      <c r="AB15" s="77" t="str">
        <f t="shared" si="180"/>
        <v/>
      </c>
      <c r="AC15" s="78" t="str">
        <f t="shared" si="180"/>
        <v/>
      </c>
      <c r="AD15" s="78" t="str">
        <f t="shared" si="180"/>
        <v/>
      </c>
      <c r="AE15" s="78" t="str">
        <f t="shared" si="180"/>
        <v/>
      </c>
      <c r="AF15" s="78" t="str">
        <f t="shared" si="180"/>
        <v/>
      </c>
      <c r="AG15" s="78" t="str">
        <f t="shared" si="180"/>
        <v/>
      </c>
      <c r="AH15" s="79" t="str">
        <f t="shared" si="180"/>
        <v/>
      </c>
      <c r="AI15" s="77" t="str">
        <f t="shared" si="180"/>
        <v/>
      </c>
      <c r="AJ15" s="78" t="str">
        <f t="shared" si="180"/>
        <v/>
      </c>
      <c r="AK15" s="78" t="str">
        <f t="shared" si="180"/>
        <v/>
      </c>
      <c r="AL15" s="78" t="str">
        <f t="shared" si="180"/>
        <v/>
      </c>
      <c r="AM15" s="78" t="str">
        <f t="shared" si="180"/>
        <v/>
      </c>
      <c r="AN15" s="78" t="str">
        <f t="shared" si="180"/>
        <v/>
      </c>
      <c r="AO15" s="79" t="str">
        <f t="shared" si="180"/>
        <v/>
      </c>
      <c r="AP15" s="77" t="str">
        <f t="shared" si="180"/>
        <v/>
      </c>
      <c r="AQ15" s="78" t="str">
        <f t="shared" si="180"/>
        <v/>
      </c>
      <c r="AR15" s="78" t="str">
        <f t="shared" si="180"/>
        <v/>
      </c>
      <c r="AS15" s="78" t="str">
        <f t="shared" si="180"/>
        <v/>
      </c>
      <c r="AT15" s="78" t="str">
        <f t="shared" ref="AT15:BY15" si="181">IF($I15=AT$8,"t","")</f>
        <v/>
      </c>
      <c r="AU15" s="78" t="str">
        <f t="shared" si="181"/>
        <v/>
      </c>
      <c r="AV15" s="79" t="str">
        <f t="shared" si="181"/>
        <v/>
      </c>
      <c r="AW15" s="77" t="str">
        <f t="shared" si="181"/>
        <v/>
      </c>
      <c r="AX15" s="78" t="str">
        <f t="shared" si="181"/>
        <v/>
      </c>
      <c r="AY15" s="78" t="str">
        <f t="shared" si="181"/>
        <v/>
      </c>
      <c r="AZ15" s="78" t="str">
        <f t="shared" si="181"/>
        <v/>
      </c>
      <c r="BA15" s="78" t="str">
        <f t="shared" si="181"/>
        <v/>
      </c>
      <c r="BB15" s="78" t="str">
        <f t="shared" si="181"/>
        <v/>
      </c>
      <c r="BC15" s="79" t="str">
        <f t="shared" si="181"/>
        <v/>
      </c>
      <c r="BD15" s="77" t="str">
        <f t="shared" si="181"/>
        <v/>
      </c>
      <c r="BE15" s="78" t="str">
        <f t="shared" si="181"/>
        <v/>
      </c>
      <c r="BF15" s="78" t="str">
        <f t="shared" si="181"/>
        <v/>
      </c>
      <c r="BG15" s="78" t="str">
        <f t="shared" si="181"/>
        <v/>
      </c>
      <c r="BH15" s="78" t="str">
        <f t="shared" si="181"/>
        <v/>
      </c>
      <c r="BI15" s="78" t="str">
        <f t="shared" si="181"/>
        <v/>
      </c>
      <c r="BJ15" s="79" t="str">
        <f t="shared" si="181"/>
        <v/>
      </c>
      <c r="BK15" s="77" t="str">
        <f t="shared" si="181"/>
        <v/>
      </c>
      <c r="BL15" s="78" t="str">
        <f t="shared" si="181"/>
        <v/>
      </c>
      <c r="BM15" s="78" t="str">
        <f t="shared" si="181"/>
        <v/>
      </c>
      <c r="BN15" s="78" t="str">
        <f t="shared" si="181"/>
        <v/>
      </c>
      <c r="BO15" s="78" t="str">
        <f t="shared" si="181"/>
        <v/>
      </c>
      <c r="BP15" s="78" t="str">
        <f t="shared" si="181"/>
        <v/>
      </c>
      <c r="BQ15" s="79" t="str">
        <f t="shared" si="181"/>
        <v/>
      </c>
      <c r="BR15" s="93" t="str">
        <f t="shared" si="181"/>
        <v/>
      </c>
      <c r="BS15" s="93" t="str">
        <f t="shared" si="181"/>
        <v/>
      </c>
      <c r="BT15" s="93" t="str">
        <f t="shared" si="181"/>
        <v/>
      </c>
      <c r="BU15" s="93" t="str">
        <f t="shared" si="181"/>
        <v/>
      </c>
      <c r="BV15" s="93" t="str">
        <f t="shared" si="181"/>
        <v/>
      </c>
      <c r="BW15" s="93" t="str">
        <f t="shared" si="181"/>
        <v/>
      </c>
      <c r="BX15" s="93" t="str">
        <f t="shared" si="181"/>
        <v/>
      </c>
      <c r="BY15" s="93" t="e">
        <f t="shared" si="181"/>
        <v>#REF!</v>
      </c>
      <c r="BZ15" s="93" t="e">
        <f t="shared" si="179"/>
        <v>#REF!</v>
      </c>
      <c r="CA15" s="93" t="e">
        <f t="shared" si="179"/>
        <v>#REF!</v>
      </c>
      <c r="CB15" s="93" t="e">
        <f t="shared" si="179"/>
        <v>#REF!</v>
      </c>
      <c r="CC15" s="93" t="e">
        <f t="shared" si="179"/>
        <v>#REF!</v>
      </c>
      <c r="CD15" s="102" t="e">
        <f t="shared" si="179"/>
        <v>#REF!</v>
      </c>
      <c r="CE15" s="93" t="e">
        <f t="shared" si="179"/>
        <v>#REF!</v>
      </c>
      <c r="CF15" s="93" t="e">
        <f t="shared" si="179"/>
        <v>#REF!</v>
      </c>
      <c r="CG15" s="93" t="e">
        <f t="shared" si="179"/>
        <v>#REF!</v>
      </c>
      <c r="CH15" s="104" t="e">
        <f t="shared" si="179"/>
        <v>#REF!</v>
      </c>
      <c r="CI15" s="102" t="e">
        <f t="shared" si="179"/>
        <v>#REF!</v>
      </c>
      <c r="CJ15" s="93" t="e">
        <f t="shared" si="179"/>
        <v>#REF!</v>
      </c>
      <c r="CK15" s="93" t="e">
        <f t="shared" si="179"/>
        <v>#REF!</v>
      </c>
      <c r="CL15" s="93" t="e">
        <f t="shared" si="179"/>
        <v>#REF!</v>
      </c>
      <c r="CM15" s="104" t="e">
        <f t="shared" si="179"/>
        <v>#REF!</v>
      </c>
      <c r="CN15" s="102" t="e">
        <f t="shared" si="179"/>
        <v>#REF!</v>
      </c>
      <c r="CO15" s="93" t="e">
        <f t="shared" si="179"/>
        <v>#REF!</v>
      </c>
      <c r="CP15" s="93" t="e">
        <f t="shared" si="179"/>
        <v>#REF!</v>
      </c>
      <c r="CQ15" s="93" t="e">
        <f t="shared" si="179"/>
        <v>#REF!</v>
      </c>
      <c r="CR15" s="104" t="e">
        <f t="shared" si="179"/>
        <v>#REF!</v>
      </c>
      <c r="CS15" s="102" t="e">
        <f t="shared" si="179"/>
        <v>#REF!</v>
      </c>
      <c r="CT15" s="93" t="e">
        <f t="shared" si="179"/>
        <v>#REF!</v>
      </c>
      <c r="CU15" s="93" t="e">
        <f t="shared" si="179"/>
        <v>#REF!</v>
      </c>
      <c r="CV15" s="93" t="e">
        <f t="shared" si="179"/>
        <v>#REF!</v>
      </c>
      <c r="CW15" s="104" t="e">
        <f t="shared" si="179"/>
        <v>#REF!</v>
      </c>
      <c r="CX15" s="102" t="e">
        <f t="shared" si="179"/>
        <v>#REF!</v>
      </c>
      <c r="CY15" s="93" t="e">
        <f t="shared" si="179"/>
        <v>#REF!</v>
      </c>
      <c r="CZ15" s="93" t="e">
        <f t="shared" si="179"/>
        <v>#REF!</v>
      </c>
      <c r="DA15" s="93" t="e">
        <f t="shared" si="179"/>
        <v>#REF!</v>
      </c>
      <c r="DB15" s="104" t="e">
        <f t="shared" si="179"/>
        <v>#REF!</v>
      </c>
      <c r="DC15" s="102" t="e">
        <f t="shared" si="179"/>
        <v>#REF!</v>
      </c>
      <c r="DD15" s="93" t="e">
        <f t="shared" si="179"/>
        <v>#REF!</v>
      </c>
      <c r="DE15" s="93" t="e">
        <f t="shared" si="179"/>
        <v>#REF!</v>
      </c>
      <c r="DF15" s="93" t="e">
        <f t="shared" si="179"/>
        <v>#REF!</v>
      </c>
      <c r="DG15" s="104" t="e">
        <f t="shared" si="179"/>
        <v>#REF!</v>
      </c>
      <c r="DH15" s="107"/>
      <c r="DI15" s="106"/>
    </row>
    <row r="16" spans="1:113" s="29" customFormat="1" ht="26" x14ac:dyDescent="0.25">
      <c r="A16" s="37" t="str">
        <f t="shared" si="177"/>
        <v>1.6</v>
      </c>
      <c r="B16" s="109">
        <v>202510060</v>
      </c>
      <c r="C16" s="109" t="s">
        <v>128</v>
      </c>
      <c r="D16" s="108"/>
      <c r="E16" s="108" t="s">
        <v>55</v>
      </c>
      <c r="F16" s="46">
        <v>45971</v>
      </c>
      <c r="G16" s="46">
        <f t="shared" ref="G16" si="182">F16+7</f>
        <v>45978</v>
      </c>
      <c r="H16" s="49">
        <f t="shared" si="171"/>
        <v>1</v>
      </c>
      <c r="I16" s="47" t="s">
        <v>6</v>
      </c>
      <c r="J16" s="47" t="s">
        <v>144</v>
      </c>
      <c r="K16" s="47" t="s">
        <v>138</v>
      </c>
      <c r="L16" s="115"/>
      <c r="M16" s="48"/>
      <c r="N16" s="77" t="str">
        <f t="shared" si="178"/>
        <v/>
      </c>
      <c r="O16" s="78" t="str">
        <f t="shared" si="178"/>
        <v/>
      </c>
      <c r="P16" s="78" t="str">
        <f t="shared" si="178"/>
        <v/>
      </c>
      <c r="Q16" s="78" t="str">
        <f t="shared" si="178"/>
        <v/>
      </c>
      <c r="R16" s="78" t="str">
        <f t="shared" si="178"/>
        <v/>
      </c>
      <c r="S16" s="78" t="str">
        <f t="shared" si="178"/>
        <v/>
      </c>
      <c r="T16" s="79" t="str">
        <f t="shared" si="178"/>
        <v/>
      </c>
      <c r="U16" s="77" t="str">
        <f t="shared" si="178"/>
        <v/>
      </c>
      <c r="V16" s="78" t="str">
        <f t="shared" si="178"/>
        <v/>
      </c>
      <c r="W16" s="78" t="str">
        <f t="shared" si="178"/>
        <v/>
      </c>
      <c r="X16" s="78" t="str">
        <f t="shared" si="178"/>
        <v/>
      </c>
      <c r="Y16" s="78" t="str">
        <f t="shared" si="178"/>
        <v/>
      </c>
      <c r="Z16" s="78" t="str">
        <f t="shared" si="178"/>
        <v/>
      </c>
      <c r="AA16" s="79" t="str">
        <f t="shared" si="178"/>
        <v/>
      </c>
      <c r="AB16" s="77" t="str">
        <f t="shared" si="178"/>
        <v/>
      </c>
      <c r="AC16" s="78" t="str">
        <f t="shared" si="178"/>
        <v/>
      </c>
      <c r="AD16" s="78" t="str">
        <f t="shared" si="178"/>
        <v/>
      </c>
      <c r="AE16" s="78" t="str">
        <f t="shared" si="178"/>
        <v/>
      </c>
      <c r="AF16" s="78" t="str">
        <f t="shared" si="178"/>
        <v/>
      </c>
      <c r="AG16" s="78" t="str">
        <f t="shared" si="178"/>
        <v/>
      </c>
      <c r="AH16" s="79" t="str">
        <f t="shared" si="178"/>
        <v/>
      </c>
      <c r="AI16" s="77" t="str">
        <f t="shared" si="178"/>
        <v/>
      </c>
      <c r="AJ16" s="78" t="str">
        <f t="shared" si="178"/>
        <v/>
      </c>
      <c r="AK16" s="78" t="str">
        <f t="shared" si="178"/>
        <v/>
      </c>
      <c r="AL16" s="78" t="str">
        <f t="shared" si="178"/>
        <v/>
      </c>
      <c r="AM16" s="78" t="str">
        <f t="shared" si="178"/>
        <v/>
      </c>
      <c r="AN16" s="78" t="str">
        <f t="shared" si="178"/>
        <v/>
      </c>
      <c r="AO16" s="79" t="str">
        <f t="shared" si="178"/>
        <v/>
      </c>
      <c r="AP16" s="77" t="str">
        <f t="shared" si="178"/>
        <v/>
      </c>
      <c r="AQ16" s="78" t="str">
        <f t="shared" si="178"/>
        <v/>
      </c>
      <c r="AR16" s="78" t="str">
        <f t="shared" si="178"/>
        <v/>
      </c>
      <c r="AS16" s="78" t="str">
        <f t="shared" si="178"/>
        <v/>
      </c>
      <c r="AT16" s="78" t="str">
        <f t="shared" si="178"/>
        <v/>
      </c>
      <c r="AU16" s="78" t="str">
        <f t="shared" si="178"/>
        <v/>
      </c>
      <c r="AV16" s="79" t="str">
        <f t="shared" si="178"/>
        <v/>
      </c>
      <c r="AW16" s="77" t="str">
        <f t="shared" si="178"/>
        <v/>
      </c>
      <c r="AX16" s="78" t="str">
        <f t="shared" si="178"/>
        <v/>
      </c>
      <c r="AY16" s="78" t="str">
        <f t="shared" si="178"/>
        <v/>
      </c>
      <c r="AZ16" s="78" t="str">
        <f t="shared" si="178"/>
        <v/>
      </c>
      <c r="BA16" s="78" t="str">
        <f t="shared" si="178"/>
        <v/>
      </c>
      <c r="BB16" s="78" t="str">
        <f t="shared" si="178"/>
        <v/>
      </c>
      <c r="BC16" s="79" t="str">
        <f t="shared" si="178"/>
        <v/>
      </c>
      <c r="BD16" s="77" t="str">
        <f t="shared" si="178"/>
        <v/>
      </c>
      <c r="BE16" s="78" t="str">
        <f t="shared" si="178"/>
        <v/>
      </c>
      <c r="BF16" s="78" t="str">
        <f t="shared" si="178"/>
        <v/>
      </c>
      <c r="BG16" s="78" t="str">
        <f t="shared" si="178"/>
        <v/>
      </c>
      <c r="BH16" s="78" t="str">
        <f t="shared" si="178"/>
        <v/>
      </c>
      <c r="BI16" s="78" t="str">
        <f t="shared" si="178"/>
        <v/>
      </c>
      <c r="BJ16" s="79" t="str">
        <f t="shared" si="178"/>
        <v/>
      </c>
      <c r="BK16" s="77" t="str">
        <f t="shared" si="178"/>
        <v/>
      </c>
      <c r="BL16" s="78" t="str">
        <f t="shared" si="178"/>
        <v/>
      </c>
      <c r="BM16" s="78" t="str">
        <f t="shared" si="178"/>
        <v/>
      </c>
      <c r="BN16" s="78" t="str">
        <f t="shared" si="178"/>
        <v/>
      </c>
      <c r="BO16" s="78" t="str">
        <f t="shared" si="178"/>
        <v/>
      </c>
      <c r="BP16" s="78" t="str">
        <f t="shared" si="178"/>
        <v/>
      </c>
      <c r="BQ16" s="79" t="str">
        <f t="shared" si="178"/>
        <v/>
      </c>
      <c r="BR16" s="93" t="str">
        <f t="shared" si="178"/>
        <v/>
      </c>
      <c r="BS16" s="93" t="str">
        <f t="shared" si="178"/>
        <v/>
      </c>
      <c r="BT16" s="93" t="str">
        <f t="shared" si="178"/>
        <v/>
      </c>
      <c r="BU16" s="93" t="str">
        <f t="shared" si="178"/>
        <v/>
      </c>
      <c r="BV16" s="93" t="str">
        <f t="shared" si="178"/>
        <v/>
      </c>
      <c r="BW16" s="93" t="str">
        <f t="shared" si="178"/>
        <v/>
      </c>
      <c r="BX16" s="93" t="str">
        <f t="shared" si="178"/>
        <v/>
      </c>
      <c r="BY16" s="93" t="e">
        <f t="shared" si="178"/>
        <v>#REF!</v>
      </c>
      <c r="BZ16" s="93" t="e">
        <f t="shared" si="179"/>
        <v>#REF!</v>
      </c>
      <c r="CA16" s="93" t="e">
        <f t="shared" si="179"/>
        <v>#REF!</v>
      </c>
      <c r="CB16" s="93" t="e">
        <f t="shared" si="179"/>
        <v>#REF!</v>
      </c>
      <c r="CC16" s="93" t="e">
        <f t="shared" si="179"/>
        <v>#REF!</v>
      </c>
      <c r="CD16" s="102" t="e">
        <f t="shared" si="179"/>
        <v>#REF!</v>
      </c>
      <c r="CE16" s="93" t="e">
        <f t="shared" si="179"/>
        <v>#REF!</v>
      </c>
      <c r="CF16" s="93" t="e">
        <f t="shared" si="179"/>
        <v>#REF!</v>
      </c>
      <c r="CG16" s="93" t="e">
        <f t="shared" si="179"/>
        <v>#REF!</v>
      </c>
      <c r="CH16" s="104" t="e">
        <f t="shared" si="179"/>
        <v>#REF!</v>
      </c>
      <c r="CI16" s="102" t="e">
        <f t="shared" si="179"/>
        <v>#REF!</v>
      </c>
      <c r="CJ16" s="93" t="e">
        <f t="shared" si="179"/>
        <v>#REF!</v>
      </c>
      <c r="CK16" s="93" t="e">
        <f t="shared" si="179"/>
        <v>#REF!</v>
      </c>
      <c r="CL16" s="93" t="e">
        <f t="shared" si="179"/>
        <v>#REF!</v>
      </c>
      <c r="CM16" s="104" t="e">
        <f t="shared" si="179"/>
        <v>#REF!</v>
      </c>
      <c r="CN16" s="102" t="e">
        <f t="shared" si="179"/>
        <v>#REF!</v>
      </c>
      <c r="CO16" s="93" t="e">
        <f t="shared" si="179"/>
        <v>#REF!</v>
      </c>
      <c r="CP16" s="93" t="e">
        <f t="shared" si="179"/>
        <v>#REF!</v>
      </c>
      <c r="CQ16" s="93" t="e">
        <f t="shared" si="179"/>
        <v>#REF!</v>
      </c>
      <c r="CR16" s="104" t="e">
        <f t="shared" si="179"/>
        <v>#REF!</v>
      </c>
      <c r="CS16" s="102" t="e">
        <f t="shared" si="179"/>
        <v>#REF!</v>
      </c>
      <c r="CT16" s="93" t="e">
        <f t="shared" si="179"/>
        <v>#REF!</v>
      </c>
      <c r="CU16" s="93" t="e">
        <f t="shared" si="179"/>
        <v>#REF!</v>
      </c>
      <c r="CV16" s="93" t="e">
        <f t="shared" si="179"/>
        <v>#REF!</v>
      </c>
      <c r="CW16" s="104" t="e">
        <f t="shared" si="179"/>
        <v>#REF!</v>
      </c>
      <c r="CX16" s="102" t="e">
        <f t="shared" si="179"/>
        <v>#REF!</v>
      </c>
      <c r="CY16" s="93" t="e">
        <f t="shared" si="179"/>
        <v>#REF!</v>
      </c>
      <c r="CZ16" s="93" t="e">
        <f t="shared" si="179"/>
        <v>#REF!</v>
      </c>
      <c r="DA16" s="93" t="e">
        <f t="shared" si="179"/>
        <v>#REF!</v>
      </c>
      <c r="DB16" s="104" t="e">
        <f t="shared" si="179"/>
        <v>#REF!</v>
      </c>
      <c r="DC16" s="102" t="e">
        <f t="shared" si="179"/>
        <v>#REF!</v>
      </c>
      <c r="DD16" s="93" t="e">
        <f t="shared" si="179"/>
        <v>#REF!</v>
      </c>
      <c r="DE16" s="93" t="e">
        <f t="shared" si="179"/>
        <v>#REF!</v>
      </c>
      <c r="DF16" s="93" t="e">
        <f t="shared" si="179"/>
        <v>#REF!</v>
      </c>
      <c r="DG16" s="104" t="e">
        <f t="shared" si="179"/>
        <v>#REF!</v>
      </c>
      <c r="DH16" s="107"/>
      <c r="DI16" s="106"/>
    </row>
    <row r="17" spans="1:113" s="29" customFormat="1" ht="26" x14ac:dyDescent="0.25">
      <c r="A17" s="37" t="str">
        <f t="shared" si="177"/>
        <v>1.7</v>
      </c>
      <c r="B17" s="109">
        <v>202510079</v>
      </c>
      <c r="C17" s="109" t="s">
        <v>129</v>
      </c>
      <c r="D17" s="108"/>
      <c r="E17" s="108" t="s">
        <v>56</v>
      </c>
      <c r="F17" s="46">
        <v>45971</v>
      </c>
      <c r="G17" s="46">
        <f t="shared" ref="G17:G18" si="183">F17+7</f>
        <v>45978</v>
      </c>
      <c r="H17" s="49">
        <f t="shared" si="171"/>
        <v>1</v>
      </c>
      <c r="I17" s="47" t="s">
        <v>6</v>
      </c>
      <c r="J17" s="47" t="s">
        <v>144</v>
      </c>
      <c r="K17" s="47" t="s">
        <v>138</v>
      </c>
      <c r="L17" s="115"/>
      <c r="M17" s="48"/>
      <c r="N17" s="77" t="str">
        <f t="shared" si="178"/>
        <v/>
      </c>
      <c r="O17" s="78" t="str">
        <f t="shared" si="178"/>
        <v/>
      </c>
      <c r="P17" s="78" t="str">
        <f t="shared" si="178"/>
        <v/>
      </c>
      <c r="Q17" s="78" t="str">
        <f t="shared" si="178"/>
        <v/>
      </c>
      <c r="R17" s="78" t="str">
        <f t="shared" si="178"/>
        <v/>
      </c>
      <c r="S17" s="78" t="str">
        <f t="shared" si="178"/>
        <v/>
      </c>
      <c r="T17" s="79" t="str">
        <f t="shared" si="178"/>
        <v/>
      </c>
      <c r="U17" s="77" t="str">
        <f t="shared" si="178"/>
        <v/>
      </c>
      <c r="V17" s="78" t="str">
        <f t="shared" si="178"/>
        <v/>
      </c>
      <c r="W17" s="78" t="str">
        <f t="shared" si="178"/>
        <v/>
      </c>
      <c r="X17" s="78" t="str">
        <f t="shared" si="178"/>
        <v/>
      </c>
      <c r="Y17" s="78" t="str">
        <f t="shared" si="178"/>
        <v/>
      </c>
      <c r="Z17" s="78" t="str">
        <f t="shared" si="178"/>
        <v/>
      </c>
      <c r="AA17" s="79" t="str">
        <f t="shared" si="178"/>
        <v/>
      </c>
      <c r="AB17" s="77" t="str">
        <f t="shared" si="178"/>
        <v/>
      </c>
      <c r="AC17" s="78" t="str">
        <f t="shared" si="178"/>
        <v/>
      </c>
      <c r="AD17" s="78" t="str">
        <f t="shared" si="178"/>
        <v/>
      </c>
      <c r="AE17" s="78" t="str">
        <f t="shared" si="178"/>
        <v/>
      </c>
      <c r="AF17" s="78" t="str">
        <f t="shared" si="178"/>
        <v/>
      </c>
      <c r="AG17" s="78" t="str">
        <f t="shared" si="178"/>
        <v/>
      </c>
      <c r="AH17" s="79" t="str">
        <f t="shared" si="178"/>
        <v/>
      </c>
      <c r="AI17" s="77" t="str">
        <f t="shared" si="178"/>
        <v/>
      </c>
      <c r="AJ17" s="78" t="str">
        <f t="shared" si="178"/>
        <v/>
      </c>
      <c r="AK17" s="78" t="str">
        <f t="shared" si="178"/>
        <v/>
      </c>
      <c r="AL17" s="78" t="str">
        <f t="shared" si="178"/>
        <v/>
      </c>
      <c r="AM17" s="78" t="str">
        <f t="shared" si="178"/>
        <v/>
      </c>
      <c r="AN17" s="78" t="str">
        <f t="shared" si="178"/>
        <v/>
      </c>
      <c r="AO17" s="79" t="str">
        <f t="shared" si="178"/>
        <v/>
      </c>
      <c r="AP17" s="77" t="str">
        <f t="shared" si="178"/>
        <v/>
      </c>
      <c r="AQ17" s="78" t="str">
        <f t="shared" si="178"/>
        <v/>
      </c>
      <c r="AR17" s="78" t="str">
        <f t="shared" si="178"/>
        <v/>
      </c>
      <c r="AS17" s="78" t="str">
        <f t="shared" si="178"/>
        <v/>
      </c>
      <c r="AT17" s="78" t="str">
        <f t="shared" si="178"/>
        <v/>
      </c>
      <c r="AU17" s="78" t="str">
        <f t="shared" si="178"/>
        <v/>
      </c>
      <c r="AV17" s="79" t="str">
        <f t="shared" si="178"/>
        <v/>
      </c>
      <c r="AW17" s="77" t="str">
        <f t="shared" si="178"/>
        <v/>
      </c>
      <c r="AX17" s="78" t="str">
        <f t="shared" si="178"/>
        <v/>
      </c>
      <c r="AY17" s="78" t="str">
        <f t="shared" si="178"/>
        <v/>
      </c>
      <c r="AZ17" s="78" t="str">
        <f t="shared" si="178"/>
        <v/>
      </c>
      <c r="BA17" s="78" t="str">
        <f t="shared" si="178"/>
        <v/>
      </c>
      <c r="BB17" s="78" t="str">
        <f t="shared" si="178"/>
        <v/>
      </c>
      <c r="BC17" s="79" t="str">
        <f t="shared" si="178"/>
        <v/>
      </c>
      <c r="BD17" s="77" t="str">
        <f t="shared" si="178"/>
        <v/>
      </c>
      <c r="BE17" s="78" t="str">
        <f t="shared" si="178"/>
        <v/>
      </c>
      <c r="BF17" s="78" t="str">
        <f t="shared" si="178"/>
        <v/>
      </c>
      <c r="BG17" s="78" t="str">
        <f t="shared" si="178"/>
        <v/>
      </c>
      <c r="BH17" s="78" t="str">
        <f t="shared" si="178"/>
        <v/>
      </c>
      <c r="BI17" s="78" t="str">
        <f t="shared" si="178"/>
        <v/>
      </c>
      <c r="BJ17" s="79" t="str">
        <f t="shared" si="178"/>
        <v/>
      </c>
      <c r="BK17" s="77" t="str">
        <f t="shared" si="178"/>
        <v/>
      </c>
      <c r="BL17" s="78" t="str">
        <f t="shared" si="178"/>
        <v/>
      </c>
      <c r="BM17" s="78" t="str">
        <f t="shared" si="178"/>
        <v/>
      </c>
      <c r="BN17" s="78" t="str">
        <f t="shared" si="178"/>
        <v/>
      </c>
      <c r="BO17" s="78" t="str">
        <f t="shared" si="178"/>
        <v/>
      </c>
      <c r="BP17" s="78" t="str">
        <f t="shared" si="178"/>
        <v/>
      </c>
      <c r="BQ17" s="79" t="str">
        <f t="shared" si="178"/>
        <v/>
      </c>
      <c r="BR17" s="93" t="str">
        <f t="shared" si="178"/>
        <v/>
      </c>
      <c r="BS17" s="93" t="str">
        <f t="shared" si="178"/>
        <v/>
      </c>
      <c r="BT17" s="93" t="str">
        <f t="shared" si="178"/>
        <v/>
      </c>
      <c r="BU17" s="93" t="str">
        <f t="shared" si="178"/>
        <v/>
      </c>
      <c r="BV17" s="93" t="str">
        <f t="shared" si="178"/>
        <v/>
      </c>
      <c r="BW17" s="93" t="str">
        <f t="shared" si="178"/>
        <v/>
      </c>
      <c r="BX17" s="93" t="str">
        <f t="shared" si="178"/>
        <v/>
      </c>
      <c r="BY17" s="93" t="e">
        <f t="shared" ref="BY17" si="184">IF($I17=BY$8,"t","")</f>
        <v>#REF!</v>
      </c>
      <c r="BZ17" s="93" t="e">
        <f t="shared" si="179"/>
        <v>#REF!</v>
      </c>
      <c r="CA17" s="93" t="e">
        <f t="shared" si="179"/>
        <v>#REF!</v>
      </c>
      <c r="CB17" s="93" t="e">
        <f t="shared" si="179"/>
        <v>#REF!</v>
      </c>
      <c r="CC17" s="93" t="e">
        <f t="shared" si="179"/>
        <v>#REF!</v>
      </c>
      <c r="CD17" s="102" t="e">
        <f t="shared" si="179"/>
        <v>#REF!</v>
      </c>
      <c r="CE17" s="93" t="e">
        <f t="shared" si="179"/>
        <v>#REF!</v>
      </c>
      <c r="CF17" s="93" t="e">
        <f t="shared" si="179"/>
        <v>#REF!</v>
      </c>
      <c r="CG17" s="93" t="e">
        <f t="shared" si="179"/>
        <v>#REF!</v>
      </c>
      <c r="CH17" s="104" t="e">
        <f t="shared" si="179"/>
        <v>#REF!</v>
      </c>
      <c r="CI17" s="102" t="e">
        <f t="shared" si="179"/>
        <v>#REF!</v>
      </c>
      <c r="CJ17" s="93" t="e">
        <f t="shared" si="179"/>
        <v>#REF!</v>
      </c>
      <c r="CK17" s="93" t="e">
        <f t="shared" si="179"/>
        <v>#REF!</v>
      </c>
      <c r="CL17" s="93" t="e">
        <f t="shared" si="179"/>
        <v>#REF!</v>
      </c>
      <c r="CM17" s="104" t="e">
        <f t="shared" si="179"/>
        <v>#REF!</v>
      </c>
      <c r="CN17" s="102" t="e">
        <f t="shared" si="179"/>
        <v>#REF!</v>
      </c>
      <c r="CO17" s="93" t="e">
        <f t="shared" si="179"/>
        <v>#REF!</v>
      </c>
      <c r="CP17" s="93" t="e">
        <f t="shared" si="179"/>
        <v>#REF!</v>
      </c>
      <c r="CQ17" s="93" t="e">
        <f t="shared" si="179"/>
        <v>#REF!</v>
      </c>
      <c r="CR17" s="104" t="e">
        <f t="shared" si="179"/>
        <v>#REF!</v>
      </c>
      <c r="CS17" s="102" t="e">
        <f t="shared" si="179"/>
        <v>#REF!</v>
      </c>
      <c r="CT17" s="93" t="e">
        <f t="shared" si="179"/>
        <v>#REF!</v>
      </c>
      <c r="CU17" s="93" t="e">
        <f t="shared" si="179"/>
        <v>#REF!</v>
      </c>
      <c r="CV17" s="93" t="e">
        <f t="shared" si="179"/>
        <v>#REF!</v>
      </c>
      <c r="CW17" s="104" t="e">
        <f t="shared" si="179"/>
        <v>#REF!</v>
      </c>
      <c r="CX17" s="102" t="e">
        <f t="shared" si="179"/>
        <v>#REF!</v>
      </c>
      <c r="CY17" s="93" t="e">
        <f t="shared" si="179"/>
        <v>#REF!</v>
      </c>
      <c r="CZ17" s="93" t="e">
        <f t="shared" si="179"/>
        <v>#REF!</v>
      </c>
      <c r="DA17" s="93" t="e">
        <f t="shared" si="179"/>
        <v>#REF!</v>
      </c>
      <c r="DB17" s="104" t="e">
        <f t="shared" si="179"/>
        <v>#REF!</v>
      </c>
      <c r="DC17" s="102" t="e">
        <f t="shared" si="179"/>
        <v>#REF!</v>
      </c>
      <c r="DD17" s="93" t="e">
        <f t="shared" si="179"/>
        <v>#REF!</v>
      </c>
      <c r="DE17" s="93" t="e">
        <f t="shared" si="179"/>
        <v>#REF!</v>
      </c>
      <c r="DF17" s="93" t="e">
        <f t="shared" si="179"/>
        <v>#REF!</v>
      </c>
      <c r="DG17" s="104" t="e">
        <f t="shared" si="179"/>
        <v>#REF!</v>
      </c>
      <c r="DH17" s="107"/>
      <c r="DI17" s="106"/>
    </row>
    <row r="18" spans="1:113" s="29" customFormat="1" ht="65" x14ac:dyDescent="0.25">
      <c r="A18" s="37" t="str">
        <f t="shared" si="177"/>
        <v>1.8</v>
      </c>
      <c r="B18" s="122">
        <v>202501010</v>
      </c>
      <c r="C18" s="109" t="s">
        <v>131</v>
      </c>
      <c r="D18" s="108"/>
      <c r="E18" s="108" t="s">
        <v>140</v>
      </c>
      <c r="F18" s="46">
        <v>45972</v>
      </c>
      <c r="G18" s="46">
        <f t="shared" si="183"/>
        <v>45979</v>
      </c>
      <c r="H18" s="49">
        <f t="shared" si="171"/>
        <v>1</v>
      </c>
      <c r="I18" s="47"/>
      <c r="J18" s="47" t="s">
        <v>144</v>
      </c>
      <c r="K18" s="47" t="s">
        <v>138</v>
      </c>
      <c r="L18" s="115"/>
      <c r="M18" s="48"/>
      <c r="N18" s="77"/>
      <c r="O18" s="78"/>
      <c r="P18" s="78"/>
      <c r="Q18" s="78"/>
      <c r="R18" s="78"/>
      <c r="S18" s="78"/>
      <c r="T18" s="79"/>
      <c r="U18" s="77"/>
      <c r="V18" s="78"/>
      <c r="W18" s="78"/>
      <c r="X18" s="78"/>
      <c r="Y18" s="78"/>
      <c r="Z18" s="78"/>
      <c r="AA18" s="79"/>
      <c r="AB18" s="77"/>
      <c r="AC18" s="78"/>
      <c r="AD18" s="78"/>
      <c r="AE18" s="78"/>
      <c r="AF18" s="78"/>
      <c r="AG18" s="78"/>
      <c r="AH18" s="79"/>
      <c r="AI18" s="77"/>
      <c r="AJ18" s="78"/>
      <c r="AK18" s="78"/>
      <c r="AL18" s="78"/>
      <c r="AM18" s="78"/>
      <c r="AN18" s="78"/>
      <c r="AO18" s="79"/>
      <c r="AP18" s="77"/>
      <c r="AQ18" s="78"/>
      <c r="AR18" s="78"/>
      <c r="AS18" s="78"/>
      <c r="AT18" s="78"/>
      <c r="AU18" s="78"/>
      <c r="AV18" s="79"/>
      <c r="AW18" s="77"/>
      <c r="AX18" s="78"/>
      <c r="AY18" s="78"/>
      <c r="AZ18" s="78"/>
      <c r="BA18" s="78"/>
      <c r="BB18" s="78"/>
      <c r="BC18" s="79"/>
      <c r="BD18" s="77"/>
      <c r="BE18" s="78"/>
      <c r="BF18" s="78"/>
      <c r="BG18" s="78"/>
      <c r="BH18" s="78"/>
      <c r="BI18" s="78"/>
      <c r="BJ18" s="79"/>
      <c r="BK18" s="77"/>
      <c r="BL18" s="78"/>
      <c r="BM18" s="78"/>
      <c r="BN18" s="78"/>
      <c r="BO18" s="78"/>
      <c r="BP18" s="78"/>
      <c r="BQ18" s="79"/>
      <c r="BR18" s="93"/>
      <c r="BS18" s="93"/>
      <c r="BT18" s="93"/>
      <c r="BU18" s="93"/>
      <c r="BV18" s="93"/>
      <c r="BW18" s="93"/>
      <c r="BX18" s="93"/>
      <c r="BY18" s="93"/>
      <c r="BZ18" s="93"/>
      <c r="CA18" s="93"/>
      <c r="CB18" s="93"/>
      <c r="CC18" s="93"/>
      <c r="CD18" s="102"/>
      <c r="CE18" s="93"/>
      <c r="CF18" s="93"/>
      <c r="CG18" s="93"/>
      <c r="CH18" s="104"/>
      <c r="CI18" s="102"/>
      <c r="CJ18" s="93"/>
      <c r="CK18" s="93"/>
      <c r="CL18" s="93"/>
      <c r="CM18" s="104"/>
      <c r="CN18" s="102"/>
      <c r="CO18" s="93"/>
      <c r="CP18" s="93"/>
      <c r="CQ18" s="93"/>
      <c r="CR18" s="104"/>
      <c r="CS18" s="102"/>
      <c r="CT18" s="93"/>
      <c r="CU18" s="93"/>
      <c r="CV18" s="93"/>
      <c r="CW18" s="104"/>
      <c r="CX18" s="102"/>
      <c r="CY18" s="93"/>
      <c r="CZ18" s="93"/>
      <c r="DA18" s="93"/>
      <c r="DB18" s="104"/>
      <c r="DC18" s="102"/>
      <c r="DD18" s="93"/>
      <c r="DE18" s="93"/>
      <c r="DF18" s="93"/>
      <c r="DG18" s="104"/>
      <c r="DH18" s="107"/>
      <c r="DI18" s="106"/>
    </row>
    <row r="19" spans="1:113" s="29" customFormat="1" ht="17.5" x14ac:dyDescent="0.25">
      <c r="A19" s="37" t="str">
        <f t="shared" si="177"/>
        <v>1.9</v>
      </c>
      <c r="B19" s="122">
        <v>202510074</v>
      </c>
      <c r="C19" s="109" t="s">
        <v>139</v>
      </c>
      <c r="D19" s="108"/>
      <c r="E19" s="108"/>
      <c r="F19" s="46" t="s">
        <v>135</v>
      </c>
      <c r="G19" s="46" t="s">
        <v>135</v>
      </c>
      <c r="H19" s="49">
        <f t="shared" si="171"/>
        <v>1</v>
      </c>
      <c r="I19" s="47"/>
      <c r="J19" s="47" t="s">
        <v>41</v>
      </c>
      <c r="K19" s="47" t="s">
        <v>41</v>
      </c>
      <c r="L19" s="115" t="s">
        <v>133</v>
      </c>
      <c r="M19" s="48"/>
      <c r="N19" s="77"/>
      <c r="O19" s="78"/>
      <c r="P19" s="78"/>
      <c r="Q19" s="78"/>
      <c r="R19" s="78"/>
      <c r="S19" s="78"/>
      <c r="T19" s="79"/>
      <c r="U19" s="77"/>
      <c r="V19" s="78"/>
      <c r="W19" s="78"/>
      <c r="X19" s="78"/>
      <c r="Y19" s="78"/>
      <c r="Z19" s="78"/>
      <c r="AA19" s="79"/>
      <c r="AB19" s="77"/>
      <c r="AC19" s="78"/>
      <c r="AD19" s="78"/>
      <c r="AE19" s="78"/>
      <c r="AF19" s="78"/>
      <c r="AG19" s="78"/>
      <c r="AH19" s="79"/>
      <c r="AI19" s="77"/>
      <c r="AJ19" s="78"/>
      <c r="AK19" s="78"/>
      <c r="AL19" s="78"/>
      <c r="AM19" s="78"/>
      <c r="AN19" s="78"/>
      <c r="AO19" s="79"/>
      <c r="AP19" s="77"/>
      <c r="AQ19" s="78"/>
      <c r="AR19" s="78"/>
      <c r="AS19" s="78"/>
      <c r="AT19" s="78"/>
      <c r="AU19" s="78"/>
      <c r="AV19" s="79"/>
      <c r="AW19" s="77"/>
      <c r="AX19" s="78"/>
      <c r="AY19" s="78"/>
      <c r="AZ19" s="78"/>
      <c r="BA19" s="78"/>
      <c r="BB19" s="78"/>
      <c r="BC19" s="79"/>
      <c r="BD19" s="77"/>
      <c r="BE19" s="78"/>
      <c r="BF19" s="78"/>
      <c r="BG19" s="78"/>
      <c r="BH19" s="78"/>
      <c r="BI19" s="78"/>
      <c r="BJ19" s="79"/>
      <c r="BK19" s="77"/>
      <c r="BL19" s="78"/>
      <c r="BM19" s="78"/>
      <c r="BN19" s="78"/>
      <c r="BO19" s="78"/>
      <c r="BP19" s="78"/>
      <c r="BQ19" s="79"/>
      <c r="BR19" s="93"/>
      <c r="BS19" s="93"/>
      <c r="BT19" s="93"/>
      <c r="BU19" s="93"/>
      <c r="BV19" s="93"/>
      <c r="BW19" s="93"/>
      <c r="BX19" s="93"/>
      <c r="BY19" s="93"/>
      <c r="BZ19" s="93"/>
      <c r="CA19" s="93"/>
      <c r="CB19" s="93"/>
      <c r="CC19" s="93"/>
      <c r="CD19" s="102"/>
      <c r="CE19" s="93"/>
      <c r="CF19" s="93"/>
      <c r="CG19" s="93"/>
      <c r="CH19" s="104"/>
      <c r="CI19" s="102"/>
      <c r="CJ19" s="93"/>
      <c r="CK19" s="93"/>
      <c r="CL19" s="93"/>
      <c r="CM19" s="104"/>
      <c r="CN19" s="102"/>
      <c r="CO19" s="93"/>
      <c r="CP19" s="93"/>
      <c r="CQ19" s="93"/>
      <c r="CR19" s="104"/>
      <c r="CS19" s="102"/>
      <c r="CT19" s="93"/>
      <c r="CU19" s="93"/>
      <c r="CV19" s="93"/>
      <c r="CW19" s="104"/>
      <c r="CX19" s="102"/>
      <c r="CY19" s="93"/>
      <c r="CZ19" s="93"/>
      <c r="DA19" s="93"/>
      <c r="DB19" s="104"/>
      <c r="DC19" s="102"/>
      <c r="DD19" s="93"/>
      <c r="DE19" s="93"/>
      <c r="DF19" s="93"/>
      <c r="DG19" s="104"/>
      <c r="DH19" s="107"/>
      <c r="DI19" s="106"/>
    </row>
    <row r="20" spans="1:113" s="29" customFormat="1" ht="26" x14ac:dyDescent="0.25">
      <c r="A20" s="37" t="str">
        <f t="shared" si="177"/>
        <v>1.10</v>
      </c>
      <c r="B20" s="122">
        <v>202510084</v>
      </c>
      <c r="C20" s="109" t="s">
        <v>132</v>
      </c>
      <c r="D20" s="108"/>
      <c r="E20" s="108"/>
      <c r="F20" s="46" t="s">
        <v>135</v>
      </c>
      <c r="G20" s="46" t="s">
        <v>136</v>
      </c>
      <c r="H20" s="49">
        <f t="shared" si="171"/>
        <v>1</v>
      </c>
      <c r="I20" s="47"/>
      <c r="J20" s="47" t="s">
        <v>41</v>
      </c>
      <c r="K20" s="47" t="s">
        <v>41</v>
      </c>
      <c r="L20" s="115" t="s">
        <v>134</v>
      </c>
      <c r="M20" s="48"/>
      <c r="N20" s="77"/>
      <c r="O20" s="78"/>
      <c r="P20" s="78"/>
      <c r="Q20" s="78"/>
      <c r="R20" s="78"/>
      <c r="S20" s="78"/>
      <c r="T20" s="79"/>
      <c r="U20" s="77"/>
      <c r="V20" s="78"/>
      <c r="W20" s="78"/>
      <c r="X20" s="78"/>
      <c r="Y20" s="78"/>
      <c r="Z20" s="78"/>
      <c r="AA20" s="79"/>
      <c r="AB20" s="77"/>
      <c r="AC20" s="78"/>
      <c r="AD20" s="78"/>
      <c r="AE20" s="78"/>
      <c r="AF20" s="78"/>
      <c r="AG20" s="78"/>
      <c r="AH20" s="79"/>
      <c r="AI20" s="77"/>
      <c r="AJ20" s="78"/>
      <c r="AK20" s="78"/>
      <c r="AL20" s="78"/>
      <c r="AM20" s="78"/>
      <c r="AN20" s="78"/>
      <c r="AO20" s="79"/>
      <c r="AP20" s="77"/>
      <c r="AQ20" s="78"/>
      <c r="AR20" s="78"/>
      <c r="AS20" s="78"/>
      <c r="AT20" s="78"/>
      <c r="AU20" s="78"/>
      <c r="AV20" s="79"/>
      <c r="AW20" s="77"/>
      <c r="AX20" s="78"/>
      <c r="AY20" s="78"/>
      <c r="AZ20" s="78"/>
      <c r="BA20" s="78"/>
      <c r="BB20" s="78"/>
      <c r="BC20" s="79"/>
      <c r="BD20" s="77"/>
      <c r="BE20" s="78"/>
      <c r="BF20" s="78"/>
      <c r="BG20" s="78"/>
      <c r="BH20" s="78"/>
      <c r="BI20" s="78"/>
      <c r="BJ20" s="79"/>
      <c r="BK20" s="77"/>
      <c r="BL20" s="78"/>
      <c r="BM20" s="78"/>
      <c r="BN20" s="78"/>
      <c r="BO20" s="78"/>
      <c r="BP20" s="78"/>
      <c r="BQ20" s="79"/>
      <c r="BR20" s="93"/>
      <c r="BS20" s="93"/>
      <c r="BT20" s="93"/>
      <c r="BU20" s="93"/>
      <c r="BV20" s="93"/>
      <c r="BW20" s="93"/>
      <c r="BX20" s="93"/>
      <c r="BY20" s="93"/>
      <c r="BZ20" s="93"/>
      <c r="CA20" s="93"/>
      <c r="CB20" s="93"/>
      <c r="CC20" s="93"/>
      <c r="CD20" s="102"/>
      <c r="CE20" s="93"/>
      <c r="CF20" s="93"/>
      <c r="CG20" s="93"/>
      <c r="CH20" s="104"/>
      <c r="CI20" s="102"/>
      <c r="CJ20" s="93"/>
      <c r="CK20" s="93"/>
      <c r="CL20" s="93"/>
      <c r="CM20" s="104"/>
      <c r="CN20" s="102"/>
      <c r="CO20" s="93"/>
      <c r="CP20" s="93"/>
      <c r="CQ20" s="93"/>
      <c r="CR20" s="104"/>
      <c r="CS20" s="102"/>
      <c r="CT20" s="93"/>
      <c r="CU20" s="93"/>
      <c r="CV20" s="93"/>
      <c r="CW20" s="104"/>
      <c r="CX20" s="102"/>
      <c r="CY20" s="93"/>
      <c r="CZ20" s="93"/>
      <c r="DA20" s="93"/>
      <c r="DB20" s="104"/>
      <c r="DC20" s="102"/>
      <c r="DD20" s="93"/>
      <c r="DE20" s="93"/>
      <c r="DF20" s="93"/>
      <c r="DG20" s="104"/>
      <c r="DH20" s="107"/>
      <c r="DI20" s="106"/>
    </row>
    <row r="21" spans="1:113" s="29" customFormat="1" ht="17.5" x14ac:dyDescent="0.25">
      <c r="A21" s="37" t="str">
        <f t="shared" si="177"/>
        <v>1.11</v>
      </c>
      <c r="B21" s="122"/>
      <c r="C21" s="109"/>
      <c r="D21" s="108"/>
      <c r="E21" s="108"/>
      <c r="F21" s="46" t="s">
        <v>135</v>
      </c>
      <c r="G21" s="46" t="s">
        <v>136</v>
      </c>
      <c r="H21" s="49">
        <f t="shared" si="171"/>
        <v>-1</v>
      </c>
      <c r="I21" s="47"/>
      <c r="J21" s="47"/>
      <c r="K21" s="47"/>
      <c r="L21" s="115"/>
      <c r="M21" s="48"/>
      <c r="N21" s="77"/>
      <c r="O21" s="78"/>
      <c r="P21" s="78"/>
      <c r="Q21" s="78"/>
      <c r="R21" s="78"/>
      <c r="S21" s="78"/>
      <c r="T21" s="79"/>
      <c r="U21" s="77"/>
      <c r="V21" s="78"/>
      <c r="W21" s="78"/>
      <c r="X21" s="78"/>
      <c r="Y21" s="78"/>
      <c r="Z21" s="78"/>
      <c r="AA21" s="79"/>
      <c r="AB21" s="77"/>
      <c r="AC21" s="78"/>
      <c r="AD21" s="78"/>
      <c r="AE21" s="78"/>
      <c r="AF21" s="78"/>
      <c r="AG21" s="78"/>
      <c r="AH21" s="79"/>
      <c r="AI21" s="77"/>
      <c r="AJ21" s="78"/>
      <c r="AK21" s="78"/>
      <c r="AL21" s="78"/>
      <c r="AM21" s="78"/>
      <c r="AN21" s="78"/>
      <c r="AO21" s="79"/>
      <c r="AP21" s="77"/>
      <c r="AQ21" s="78"/>
      <c r="AR21" s="78"/>
      <c r="AS21" s="78"/>
      <c r="AT21" s="78"/>
      <c r="AU21" s="78"/>
      <c r="AV21" s="79"/>
      <c r="AW21" s="77"/>
      <c r="AX21" s="78"/>
      <c r="AY21" s="78"/>
      <c r="AZ21" s="78"/>
      <c r="BA21" s="78"/>
      <c r="BB21" s="78"/>
      <c r="BC21" s="79"/>
      <c r="BD21" s="77"/>
      <c r="BE21" s="78"/>
      <c r="BF21" s="78"/>
      <c r="BG21" s="78"/>
      <c r="BH21" s="78"/>
      <c r="BI21" s="78"/>
      <c r="BJ21" s="79"/>
      <c r="BK21" s="77"/>
      <c r="BL21" s="78"/>
      <c r="BM21" s="78"/>
      <c r="BN21" s="78"/>
      <c r="BO21" s="78"/>
      <c r="BP21" s="78"/>
      <c r="BQ21" s="79"/>
      <c r="BR21" s="93"/>
      <c r="BS21" s="93"/>
      <c r="BT21" s="93"/>
      <c r="BU21" s="93"/>
      <c r="BV21" s="93"/>
      <c r="BW21" s="93"/>
      <c r="BX21" s="93"/>
      <c r="BY21" s="93"/>
      <c r="BZ21" s="93"/>
      <c r="CA21" s="93"/>
      <c r="CB21" s="93"/>
      <c r="CC21" s="93"/>
      <c r="CD21" s="102"/>
      <c r="CE21" s="93"/>
      <c r="CF21" s="93"/>
      <c r="CG21" s="93"/>
      <c r="CH21" s="104"/>
      <c r="CI21" s="102"/>
      <c r="CJ21" s="93"/>
      <c r="CK21" s="93"/>
      <c r="CL21" s="93"/>
      <c r="CM21" s="104"/>
      <c r="CN21" s="102"/>
      <c r="CO21" s="93"/>
      <c r="CP21" s="93"/>
      <c r="CQ21" s="93"/>
      <c r="CR21" s="104"/>
      <c r="CS21" s="102"/>
      <c r="CT21" s="93"/>
      <c r="CU21" s="93"/>
      <c r="CV21" s="93"/>
      <c r="CW21" s="104"/>
      <c r="CX21" s="102"/>
      <c r="CY21" s="93"/>
      <c r="CZ21" s="93"/>
      <c r="DA21" s="93"/>
      <c r="DB21" s="104"/>
      <c r="DC21" s="102"/>
      <c r="DD21" s="93"/>
      <c r="DE21" s="93"/>
      <c r="DF21" s="93"/>
      <c r="DG21" s="104"/>
      <c r="DH21" s="107"/>
      <c r="DI21" s="106"/>
    </row>
    <row r="22" spans="1:113" s="29" customFormat="1" ht="17.5" x14ac:dyDescent="0.25">
      <c r="A22" s="37" t="str">
        <f t="shared" si="177"/>
        <v>1.12</v>
      </c>
      <c r="B22" s="122">
        <v>202510045</v>
      </c>
      <c r="C22" s="109" t="str">
        <f>IF(C$7=-1,"",INDEX(INDEX('Project List'!$1:$1048576,0,C$7),MATCH($B22,'Project List'!$A:$A,0)))</f>
        <v>平利路38弄燃气管道改造</v>
      </c>
      <c r="D22" s="109" t="str">
        <f>IF(D$7=-1,"",INDEX(INDEX('Project List'!$1:$1048576,0,D$7),MATCH($B22,'Project List'!$A:$A,0)))</f>
        <v>管线</v>
      </c>
      <c r="E22" s="109" t="str">
        <f>IF(E$7=-1,"",INDEX(INDEX('Project List'!$1:$1048576,0,E$7),MATCH($B22,'Project List'!$A:$A,0)))</f>
        <v>地铁在建线路20号线平利路站车站</v>
      </c>
      <c r="F22" s="46">
        <f>IF(F$7=-1,"",INDEX(INDEX('Project List'!$1:$1048576,0,F$7),MATCH($B22,'Project List'!$A:$A,0)))</f>
        <v>45973</v>
      </c>
      <c r="G22" s="46">
        <f t="shared" ref="G22:G30" si="185">F22+7</f>
        <v>45980</v>
      </c>
      <c r="H22" s="49">
        <f t="shared" si="171"/>
        <v>1</v>
      </c>
      <c r="I22" s="47" t="s">
        <v>141</v>
      </c>
      <c r="J22" s="47" t="s">
        <v>144</v>
      </c>
      <c r="K22" s="47" t="s">
        <v>138</v>
      </c>
      <c r="L22" s="115" t="s">
        <v>257</v>
      </c>
      <c r="M22" s="48"/>
      <c r="N22" s="77"/>
      <c r="O22" s="78"/>
      <c r="P22" s="78"/>
      <c r="Q22" s="78"/>
      <c r="R22" s="78"/>
      <c r="S22" s="78"/>
      <c r="T22" s="79"/>
      <c r="U22" s="77"/>
      <c r="V22" s="78"/>
      <c r="W22" s="78"/>
      <c r="X22" s="78"/>
      <c r="Y22" s="78"/>
      <c r="Z22" s="78"/>
      <c r="AA22" s="79"/>
      <c r="AB22" s="77"/>
      <c r="AC22" s="78"/>
      <c r="AD22" s="78"/>
      <c r="AE22" s="78"/>
      <c r="AF22" s="78"/>
      <c r="AG22" s="78"/>
      <c r="AH22" s="79"/>
      <c r="AI22" s="77"/>
      <c r="AJ22" s="78"/>
      <c r="AK22" s="78"/>
      <c r="AL22" s="78"/>
      <c r="AM22" s="78"/>
      <c r="AN22" s="78"/>
      <c r="AO22" s="79"/>
      <c r="AP22" s="77"/>
      <c r="AQ22" s="78"/>
      <c r="AR22" s="78"/>
      <c r="AS22" s="78"/>
      <c r="AT22" s="78"/>
      <c r="AU22" s="78"/>
      <c r="AV22" s="79"/>
      <c r="AW22" s="77"/>
      <c r="AX22" s="78"/>
      <c r="AY22" s="78"/>
      <c r="AZ22" s="78"/>
      <c r="BA22" s="78"/>
      <c r="BB22" s="78"/>
      <c r="BC22" s="79"/>
      <c r="BD22" s="77"/>
      <c r="BE22" s="78"/>
      <c r="BF22" s="78"/>
      <c r="BG22" s="78"/>
      <c r="BH22" s="78"/>
      <c r="BI22" s="78"/>
      <c r="BJ22" s="79"/>
      <c r="BK22" s="77"/>
      <c r="BL22" s="78"/>
      <c r="BM22" s="78"/>
      <c r="BN22" s="78"/>
      <c r="BO22" s="78"/>
      <c r="BP22" s="78"/>
      <c r="BQ22" s="79"/>
      <c r="BR22" s="93"/>
      <c r="BS22" s="93"/>
      <c r="BT22" s="93"/>
      <c r="BU22" s="93"/>
      <c r="BV22" s="93"/>
      <c r="BW22" s="93"/>
      <c r="BX22" s="93"/>
      <c r="BY22" s="93"/>
      <c r="BZ22" s="93"/>
      <c r="CA22" s="93"/>
      <c r="CB22" s="93"/>
      <c r="CC22" s="93"/>
      <c r="CD22" s="102"/>
      <c r="CE22" s="93"/>
      <c r="CF22" s="93"/>
      <c r="CG22" s="93"/>
      <c r="CH22" s="104"/>
      <c r="CI22" s="102"/>
      <c r="CJ22" s="93"/>
      <c r="CK22" s="93"/>
      <c r="CL22" s="93"/>
      <c r="CM22" s="104"/>
      <c r="CN22" s="102"/>
      <c r="CO22" s="93"/>
      <c r="CP22" s="93"/>
      <c r="CQ22" s="93"/>
      <c r="CR22" s="104"/>
      <c r="CS22" s="102"/>
      <c r="CT22" s="93"/>
      <c r="CU22" s="93"/>
      <c r="CV22" s="93"/>
      <c r="CW22" s="104"/>
      <c r="CX22" s="102"/>
      <c r="CY22" s="93"/>
      <c r="CZ22" s="93"/>
      <c r="DA22" s="93"/>
      <c r="DB22" s="104"/>
      <c r="DC22" s="102"/>
      <c r="DD22" s="93"/>
      <c r="DE22" s="93"/>
      <c r="DF22" s="93"/>
      <c r="DG22" s="104"/>
      <c r="DH22" s="107"/>
      <c r="DI22" s="106"/>
    </row>
    <row r="23" spans="1:113" s="29" customFormat="1" ht="26" x14ac:dyDescent="0.25">
      <c r="A23" s="37" t="str">
        <f t="shared" si="177"/>
        <v>1.13</v>
      </c>
      <c r="B23" s="122">
        <v>202510072</v>
      </c>
      <c r="C23" s="109" t="str">
        <f>IF(C$7=-1,"",INDEX(INDEX('Project List'!$1:$1048576,0,C$7),MATCH($B23,'Project List'!$A:$A,0)))</f>
        <v>四达路58弄1-23号燃气管道改造</v>
      </c>
      <c r="D23" s="109" t="str">
        <f>IF(D$7=-1,"",INDEX(INDEX('Project List'!$1:$1048576,0,D$7),MATCH($B23,'Project List'!$A:$A,0)))</f>
        <v>管线</v>
      </c>
      <c r="E23" s="109" t="str">
        <f>IF(E$7=-1,"",INDEX(INDEX('Project List'!$1:$1048576,0,E$7),MATCH($B23,'Project List'!$A:$A,0)))</f>
        <v>地铁运营线路10号线邮电新村站至海伦路站区间</v>
      </c>
      <c r="F23" s="46">
        <f>IF(F$7=-1,"",INDEX(INDEX('Project List'!$1:$1048576,0,F$7),MATCH($B23,'Project List'!$A:$A,0)))</f>
        <v>45973</v>
      </c>
      <c r="G23" s="46">
        <f t="shared" si="185"/>
        <v>45980</v>
      </c>
      <c r="H23" s="49">
        <f t="shared" si="171"/>
        <v>1</v>
      </c>
      <c r="I23" s="47" t="s">
        <v>6</v>
      </c>
      <c r="J23" s="47" t="s">
        <v>144</v>
      </c>
      <c r="K23" s="47" t="s">
        <v>138</v>
      </c>
      <c r="L23" s="115"/>
      <c r="M23" s="48"/>
      <c r="N23" s="77" t="str">
        <f t="shared" ref="N23:W42" si="186">IF($I23=N$8,"t","")</f>
        <v/>
      </c>
      <c r="O23" s="78" t="str">
        <f t="shared" si="186"/>
        <v/>
      </c>
      <c r="P23" s="78" t="str">
        <f t="shared" si="186"/>
        <v/>
      </c>
      <c r="Q23" s="78" t="str">
        <f t="shared" si="186"/>
        <v/>
      </c>
      <c r="R23" s="78" t="str">
        <f t="shared" si="186"/>
        <v/>
      </c>
      <c r="S23" s="78" t="str">
        <f t="shared" si="186"/>
        <v/>
      </c>
      <c r="T23" s="79" t="str">
        <f t="shared" si="186"/>
        <v/>
      </c>
      <c r="U23" s="77" t="str">
        <f t="shared" si="186"/>
        <v/>
      </c>
      <c r="V23" s="78" t="str">
        <f t="shared" si="186"/>
        <v/>
      </c>
      <c r="W23" s="78" t="str">
        <f t="shared" si="186"/>
        <v/>
      </c>
      <c r="X23" s="78" t="str">
        <f t="shared" ref="X23:AG42" si="187">IF($I23=X$8,"t","")</f>
        <v/>
      </c>
      <c r="Y23" s="78" t="str">
        <f t="shared" si="187"/>
        <v/>
      </c>
      <c r="Z23" s="78" t="str">
        <f t="shared" si="187"/>
        <v/>
      </c>
      <c r="AA23" s="79" t="str">
        <f t="shared" si="187"/>
        <v/>
      </c>
      <c r="AB23" s="77" t="str">
        <f t="shared" si="187"/>
        <v/>
      </c>
      <c r="AC23" s="78" t="str">
        <f t="shared" si="187"/>
        <v/>
      </c>
      <c r="AD23" s="78" t="str">
        <f t="shared" si="187"/>
        <v/>
      </c>
      <c r="AE23" s="78" t="str">
        <f t="shared" si="187"/>
        <v/>
      </c>
      <c r="AF23" s="78" t="str">
        <f t="shared" si="187"/>
        <v/>
      </c>
      <c r="AG23" s="78" t="str">
        <f t="shared" si="187"/>
        <v/>
      </c>
      <c r="AH23" s="79" t="str">
        <f t="shared" ref="AH23:AQ42" si="188">IF($I23=AH$8,"t","")</f>
        <v/>
      </c>
      <c r="AI23" s="77" t="str">
        <f t="shared" si="188"/>
        <v/>
      </c>
      <c r="AJ23" s="78" t="str">
        <f t="shared" si="188"/>
        <v/>
      </c>
      <c r="AK23" s="78" t="str">
        <f t="shared" si="188"/>
        <v/>
      </c>
      <c r="AL23" s="78" t="str">
        <f t="shared" si="188"/>
        <v/>
      </c>
      <c r="AM23" s="78" t="str">
        <f t="shared" si="188"/>
        <v/>
      </c>
      <c r="AN23" s="78" t="str">
        <f t="shared" si="188"/>
        <v/>
      </c>
      <c r="AO23" s="79" t="str">
        <f t="shared" si="188"/>
        <v/>
      </c>
      <c r="AP23" s="77" t="str">
        <f t="shared" si="188"/>
        <v/>
      </c>
      <c r="AQ23" s="78" t="str">
        <f t="shared" si="188"/>
        <v/>
      </c>
      <c r="AR23" s="78" t="str">
        <f t="shared" ref="AR23:BA42" si="189">IF($I23=AR$8,"t","")</f>
        <v/>
      </c>
      <c r="AS23" s="78" t="str">
        <f t="shared" si="189"/>
        <v/>
      </c>
      <c r="AT23" s="78" t="str">
        <f t="shared" si="189"/>
        <v/>
      </c>
      <c r="AU23" s="78" t="str">
        <f t="shared" si="189"/>
        <v/>
      </c>
      <c r="AV23" s="79" t="str">
        <f t="shared" si="189"/>
        <v/>
      </c>
      <c r="AW23" s="77" t="str">
        <f t="shared" si="189"/>
        <v/>
      </c>
      <c r="AX23" s="78" t="str">
        <f t="shared" si="189"/>
        <v/>
      </c>
      <c r="AY23" s="78" t="str">
        <f t="shared" si="189"/>
        <v/>
      </c>
      <c r="AZ23" s="78" t="str">
        <f t="shared" si="189"/>
        <v/>
      </c>
      <c r="BA23" s="78" t="str">
        <f t="shared" si="189"/>
        <v/>
      </c>
      <c r="BB23" s="78" t="str">
        <f t="shared" ref="BB23:BK42" si="190">IF($I23=BB$8,"t","")</f>
        <v/>
      </c>
      <c r="BC23" s="79" t="str">
        <f t="shared" si="190"/>
        <v/>
      </c>
      <c r="BD23" s="77" t="str">
        <f t="shared" si="190"/>
        <v/>
      </c>
      <c r="BE23" s="78" t="str">
        <f t="shared" si="190"/>
        <v/>
      </c>
      <c r="BF23" s="78" t="str">
        <f t="shared" si="190"/>
        <v/>
      </c>
      <c r="BG23" s="78" t="str">
        <f t="shared" si="190"/>
        <v/>
      </c>
      <c r="BH23" s="78" t="str">
        <f t="shared" si="190"/>
        <v/>
      </c>
      <c r="BI23" s="78" t="str">
        <f t="shared" si="190"/>
        <v/>
      </c>
      <c r="BJ23" s="79" t="str">
        <f t="shared" si="190"/>
        <v/>
      </c>
      <c r="BK23" s="77" t="str">
        <f t="shared" si="190"/>
        <v/>
      </c>
      <c r="BL23" s="78" t="str">
        <f t="shared" ref="BL23:BU42" si="191">IF($I23=BL$8,"t","")</f>
        <v/>
      </c>
      <c r="BM23" s="78" t="str">
        <f t="shared" si="191"/>
        <v/>
      </c>
      <c r="BN23" s="78" t="str">
        <f t="shared" si="191"/>
        <v/>
      </c>
      <c r="BO23" s="78" t="str">
        <f t="shared" si="191"/>
        <v/>
      </c>
      <c r="BP23" s="78" t="str">
        <f t="shared" si="191"/>
        <v/>
      </c>
      <c r="BQ23" s="79" t="str">
        <f t="shared" si="191"/>
        <v/>
      </c>
      <c r="BR23" s="93" t="str">
        <f t="shared" si="191"/>
        <v/>
      </c>
      <c r="BS23" s="93" t="str">
        <f t="shared" si="191"/>
        <v/>
      </c>
      <c r="BT23" s="93" t="str">
        <f t="shared" si="191"/>
        <v/>
      </c>
      <c r="BU23" s="93" t="str">
        <f t="shared" si="191"/>
        <v/>
      </c>
      <c r="BV23" s="93" t="str">
        <f t="shared" ref="BV23:CE42" si="192">IF($I23=BV$8,"t","")</f>
        <v/>
      </c>
      <c r="BW23" s="93" t="str">
        <f t="shared" si="192"/>
        <v/>
      </c>
      <c r="BX23" s="93" t="str">
        <f t="shared" si="192"/>
        <v/>
      </c>
      <c r="BY23" s="93" t="e">
        <f t="shared" si="192"/>
        <v>#REF!</v>
      </c>
      <c r="BZ23" s="93" t="e">
        <f t="shared" si="192"/>
        <v>#REF!</v>
      </c>
      <c r="CA23" s="93" t="e">
        <f t="shared" si="192"/>
        <v>#REF!</v>
      </c>
      <c r="CB23" s="93" t="e">
        <f t="shared" si="192"/>
        <v>#REF!</v>
      </c>
      <c r="CC23" s="93" t="e">
        <f t="shared" si="192"/>
        <v>#REF!</v>
      </c>
      <c r="CD23" s="102" t="e">
        <f t="shared" si="192"/>
        <v>#REF!</v>
      </c>
      <c r="CE23" s="93" t="e">
        <f t="shared" si="192"/>
        <v>#REF!</v>
      </c>
      <c r="CF23" s="93" t="e">
        <f t="shared" ref="CF23:CO42" si="193">IF($I23=CF$8,"t","")</f>
        <v>#REF!</v>
      </c>
      <c r="CG23" s="93" t="e">
        <f t="shared" si="193"/>
        <v>#REF!</v>
      </c>
      <c r="CH23" s="104" t="e">
        <f t="shared" si="193"/>
        <v>#REF!</v>
      </c>
      <c r="CI23" s="102" t="e">
        <f t="shared" si="193"/>
        <v>#REF!</v>
      </c>
      <c r="CJ23" s="93" t="e">
        <f t="shared" si="193"/>
        <v>#REF!</v>
      </c>
      <c r="CK23" s="93" t="e">
        <f t="shared" si="193"/>
        <v>#REF!</v>
      </c>
      <c r="CL23" s="93" t="e">
        <f t="shared" si="193"/>
        <v>#REF!</v>
      </c>
      <c r="CM23" s="104" t="e">
        <f t="shared" si="193"/>
        <v>#REF!</v>
      </c>
      <c r="CN23" s="102" t="e">
        <f t="shared" si="193"/>
        <v>#REF!</v>
      </c>
      <c r="CO23" s="93" t="e">
        <f t="shared" si="193"/>
        <v>#REF!</v>
      </c>
      <c r="CP23" s="93" t="e">
        <f t="shared" ref="CP23:CY42" si="194">IF($I23=CP$8,"t","")</f>
        <v>#REF!</v>
      </c>
      <c r="CQ23" s="93" t="e">
        <f t="shared" si="194"/>
        <v>#REF!</v>
      </c>
      <c r="CR23" s="104" t="e">
        <f t="shared" si="194"/>
        <v>#REF!</v>
      </c>
      <c r="CS23" s="102" t="e">
        <f t="shared" si="194"/>
        <v>#REF!</v>
      </c>
      <c r="CT23" s="93" t="e">
        <f t="shared" si="194"/>
        <v>#REF!</v>
      </c>
      <c r="CU23" s="93" t="e">
        <f t="shared" si="194"/>
        <v>#REF!</v>
      </c>
      <c r="CV23" s="93" t="e">
        <f t="shared" si="194"/>
        <v>#REF!</v>
      </c>
      <c r="CW23" s="104" t="e">
        <f t="shared" si="194"/>
        <v>#REF!</v>
      </c>
      <c r="CX23" s="102" t="e">
        <f t="shared" si="194"/>
        <v>#REF!</v>
      </c>
      <c r="CY23" s="93" t="e">
        <f t="shared" si="194"/>
        <v>#REF!</v>
      </c>
      <c r="CZ23" s="93" t="e">
        <f t="shared" ref="CZ23:DG42" si="195">IF($I23=CZ$8,"t","")</f>
        <v>#REF!</v>
      </c>
      <c r="DA23" s="93" t="e">
        <f t="shared" si="195"/>
        <v>#REF!</v>
      </c>
      <c r="DB23" s="104" t="e">
        <f t="shared" si="195"/>
        <v>#REF!</v>
      </c>
      <c r="DC23" s="102" t="e">
        <f t="shared" si="195"/>
        <v>#REF!</v>
      </c>
      <c r="DD23" s="93" t="e">
        <f t="shared" si="195"/>
        <v>#REF!</v>
      </c>
      <c r="DE23" s="93" t="e">
        <f t="shared" si="195"/>
        <v>#REF!</v>
      </c>
      <c r="DF23" s="93" t="e">
        <f t="shared" si="195"/>
        <v>#REF!</v>
      </c>
      <c r="DG23" s="104" t="e">
        <f t="shared" si="195"/>
        <v>#REF!</v>
      </c>
      <c r="DH23" s="107"/>
      <c r="DI23" s="106"/>
    </row>
    <row r="24" spans="1:113" s="29" customFormat="1" ht="26" x14ac:dyDescent="0.25">
      <c r="A24" s="37" t="str">
        <f t="shared" si="177"/>
        <v>1.14</v>
      </c>
      <c r="B24" s="122">
        <v>202510082</v>
      </c>
      <c r="C24" s="109" t="str">
        <f>IF(C$7=-1,"",INDEX(INDEX('Project List'!$1:$1048576,0,C$7),MATCH($B24,'Project List'!$A:$A,0)))</f>
        <v>武威东路1082弄燃气管道改造重新设计</v>
      </c>
      <c r="D24" s="109" t="str">
        <f>IF(D$7=-1,"",INDEX(INDEX('Project List'!$1:$1048576,0,D$7),MATCH($B24,'Project List'!$A:$A,0)))</f>
        <v>管线</v>
      </c>
      <c r="E24" s="109" t="str">
        <f>IF(E$7=-1,"",INDEX(INDEX('Project List'!$1:$1048576,0,E$7),MATCH($B24,'Project List'!$A:$A,0)))</f>
        <v>地铁运营线路11号线武威路站至桃浦新村站区间</v>
      </c>
      <c r="F24" s="46">
        <f>IF(F$7=-1,"",INDEX(INDEX('Project List'!$1:$1048576,0,F$7),MATCH($B24,'Project List'!$A:$A,0)))</f>
        <v>45973</v>
      </c>
      <c r="G24" s="46">
        <f t="shared" si="185"/>
        <v>45980</v>
      </c>
      <c r="H24" s="49">
        <f t="shared" si="171"/>
        <v>1</v>
      </c>
      <c r="I24" s="47" t="s">
        <v>6</v>
      </c>
      <c r="J24" s="47" t="s">
        <v>144</v>
      </c>
      <c r="K24" s="47" t="s">
        <v>138</v>
      </c>
      <c r="L24" s="115"/>
      <c r="M24" s="48"/>
      <c r="N24" s="77" t="str">
        <f t="shared" si="186"/>
        <v/>
      </c>
      <c r="O24" s="78" t="str">
        <f t="shared" si="186"/>
        <v/>
      </c>
      <c r="P24" s="78" t="str">
        <f t="shared" si="186"/>
        <v/>
      </c>
      <c r="Q24" s="78" t="str">
        <f t="shared" si="186"/>
        <v/>
      </c>
      <c r="R24" s="78" t="str">
        <f t="shared" si="186"/>
        <v/>
      </c>
      <c r="S24" s="78" t="str">
        <f t="shared" si="186"/>
        <v/>
      </c>
      <c r="T24" s="79" t="str">
        <f t="shared" si="186"/>
        <v/>
      </c>
      <c r="U24" s="77" t="str">
        <f t="shared" si="186"/>
        <v/>
      </c>
      <c r="V24" s="78" t="str">
        <f t="shared" si="186"/>
        <v/>
      </c>
      <c r="W24" s="78" t="str">
        <f t="shared" si="186"/>
        <v/>
      </c>
      <c r="X24" s="78" t="str">
        <f t="shared" si="187"/>
        <v/>
      </c>
      <c r="Y24" s="78" t="str">
        <f t="shared" si="187"/>
        <v/>
      </c>
      <c r="Z24" s="78" t="str">
        <f t="shared" si="187"/>
        <v/>
      </c>
      <c r="AA24" s="79" t="str">
        <f t="shared" si="187"/>
        <v/>
      </c>
      <c r="AB24" s="77" t="str">
        <f t="shared" si="187"/>
        <v/>
      </c>
      <c r="AC24" s="78" t="str">
        <f t="shared" si="187"/>
        <v/>
      </c>
      <c r="AD24" s="78" t="str">
        <f t="shared" si="187"/>
        <v/>
      </c>
      <c r="AE24" s="78" t="str">
        <f t="shared" si="187"/>
        <v/>
      </c>
      <c r="AF24" s="78" t="str">
        <f t="shared" si="187"/>
        <v/>
      </c>
      <c r="AG24" s="78" t="str">
        <f t="shared" si="187"/>
        <v/>
      </c>
      <c r="AH24" s="79" t="str">
        <f t="shared" si="188"/>
        <v/>
      </c>
      <c r="AI24" s="77" t="str">
        <f t="shared" si="188"/>
        <v/>
      </c>
      <c r="AJ24" s="78" t="str">
        <f t="shared" si="188"/>
        <v/>
      </c>
      <c r="AK24" s="78" t="str">
        <f t="shared" si="188"/>
        <v/>
      </c>
      <c r="AL24" s="78" t="str">
        <f t="shared" si="188"/>
        <v/>
      </c>
      <c r="AM24" s="78" t="str">
        <f t="shared" si="188"/>
        <v/>
      </c>
      <c r="AN24" s="78" t="str">
        <f t="shared" si="188"/>
        <v/>
      </c>
      <c r="AO24" s="79" t="str">
        <f t="shared" si="188"/>
        <v/>
      </c>
      <c r="AP24" s="77" t="str">
        <f t="shared" si="188"/>
        <v/>
      </c>
      <c r="AQ24" s="78" t="str">
        <f t="shared" si="188"/>
        <v/>
      </c>
      <c r="AR24" s="78" t="str">
        <f t="shared" si="189"/>
        <v/>
      </c>
      <c r="AS24" s="78" t="str">
        <f t="shared" si="189"/>
        <v/>
      </c>
      <c r="AT24" s="78" t="str">
        <f t="shared" si="189"/>
        <v/>
      </c>
      <c r="AU24" s="78" t="str">
        <f t="shared" si="189"/>
        <v/>
      </c>
      <c r="AV24" s="79" t="str">
        <f t="shared" si="189"/>
        <v/>
      </c>
      <c r="AW24" s="77" t="str">
        <f t="shared" si="189"/>
        <v/>
      </c>
      <c r="AX24" s="78" t="str">
        <f t="shared" si="189"/>
        <v/>
      </c>
      <c r="AY24" s="78" t="str">
        <f t="shared" si="189"/>
        <v/>
      </c>
      <c r="AZ24" s="78" t="str">
        <f t="shared" si="189"/>
        <v/>
      </c>
      <c r="BA24" s="78" t="str">
        <f t="shared" si="189"/>
        <v/>
      </c>
      <c r="BB24" s="78" t="str">
        <f t="shared" si="190"/>
        <v/>
      </c>
      <c r="BC24" s="79" t="str">
        <f t="shared" si="190"/>
        <v/>
      </c>
      <c r="BD24" s="77" t="str">
        <f t="shared" si="190"/>
        <v/>
      </c>
      <c r="BE24" s="78" t="str">
        <f t="shared" si="190"/>
        <v/>
      </c>
      <c r="BF24" s="78" t="str">
        <f t="shared" si="190"/>
        <v/>
      </c>
      <c r="BG24" s="78" t="str">
        <f t="shared" si="190"/>
        <v/>
      </c>
      <c r="BH24" s="78" t="str">
        <f t="shared" si="190"/>
        <v/>
      </c>
      <c r="BI24" s="78" t="str">
        <f t="shared" si="190"/>
        <v/>
      </c>
      <c r="BJ24" s="79" t="str">
        <f t="shared" si="190"/>
        <v/>
      </c>
      <c r="BK24" s="77" t="str">
        <f t="shared" si="190"/>
        <v/>
      </c>
      <c r="BL24" s="78" t="str">
        <f t="shared" si="191"/>
        <v/>
      </c>
      <c r="BM24" s="78" t="str">
        <f t="shared" si="191"/>
        <v/>
      </c>
      <c r="BN24" s="78" t="str">
        <f t="shared" si="191"/>
        <v/>
      </c>
      <c r="BO24" s="78" t="str">
        <f t="shared" si="191"/>
        <v/>
      </c>
      <c r="BP24" s="78" t="str">
        <f t="shared" si="191"/>
        <v/>
      </c>
      <c r="BQ24" s="79" t="str">
        <f t="shared" si="191"/>
        <v/>
      </c>
      <c r="BR24" s="93" t="str">
        <f t="shared" si="191"/>
        <v/>
      </c>
      <c r="BS24" s="93" t="str">
        <f t="shared" si="191"/>
        <v/>
      </c>
      <c r="BT24" s="93" t="str">
        <f t="shared" si="191"/>
        <v/>
      </c>
      <c r="BU24" s="93" t="str">
        <f t="shared" si="191"/>
        <v/>
      </c>
      <c r="BV24" s="93" t="str">
        <f t="shared" si="192"/>
        <v/>
      </c>
      <c r="BW24" s="93" t="str">
        <f t="shared" si="192"/>
        <v/>
      </c>
      <c r="BX24" s="93" t="str">
        <f t="shared" si="192"/>
        <v/>
      </c>
      <c r="BY24" s="93" t="e">
        <f t="shared" si="192"/>
        <v>#REF!</v>
      </c>
      <c r="BZ24" s="93" t="e">
        <f t="shared" si="192"/>
        <v>#REF!</v>
      </c>
      <c r="CA24" s="93" t="e">
        <f t="shared" si="192"/>
        <v>#REF!</v>
      </c>
      <c r="CB24" s="93" t="e">
        <f t="shared" si="192"/>
        <v>#REF!</v>
      </c>
      <c r="CC24" s="93" t="e">
        <f t="shared" si="192"/>
        <v>#REF!</v>
      </c>
      <c r="CD24" s="102" t="e">
        <f t="shared" si="192"/>
        <v>#REF!</v>
      </c>
      <c r="CE24" s="93" t="e">
        <f t="shared" si="192"/>
        <v>#REF!</v>
      </c>
      <c r="CF24" s="93" t="e">
        <f t="shared" si="193"/>
        <v>#REF!</v>
      </c>
      <c r="CG24" s="93" t="e">
        <f t="shared" si="193"/>
        <v>#REF!</v>
      </c>
      <c r="CH24" s="104" t="e">
        <f t="shared" si="193"/>
        <v>#REF!</v>
      </c>
      <c r="CI24" s="102" t="e">
        <f t="shared" si="193"/>
        <v>#REF!</v>
      </c>
      <c r="CJ24" s="93" t="e">
        <f t="shared" si="193"/>
        <v>#REF!</v>
      </c>
      <c r="CK24" s="93" t="e">
        <f t="shared" si="193"/>
        <v>#REF!</v>
      </c>
      <c r="CL24" s="93" t="e">
        <f t="shared" si="193"/>
        <v>#REF!</v>
      </c>
      <c r="CM24" s="104" t="e">
        <f t="shared" si="193"/>
        <v>#REF!</v>
      </c>
      <c r="CN24" s="102" t="e">
        <f t="shared" si="193"/>
        <v>#REF!</v>
      </c>
      <c r="CO24" s="93" t="e">
        <f t="shared" si="193"/>
        <v>#REF!</v>
      </c>
      <c r="CP24" s="93" t="e">
        <f t="shared" si="194"/>
        <v>#REF!</v>
      </c>
      <c r="CQ24" s="93" t="e">
        <f t="shared" si="194"/>
        <v>#REF!</v>
      </c>
      <c r="CR24" s="104" t="e">
        <f t="shared" si="194"/>
        <v>#REF!</v>
      </c>
      <c r="CS24" s="102" t="e">
        <f t="shared" si="194"/>
        <v>#REF!</v>
      </c>
      <c r="CT24" s="93" t="e">
        <f t="shared" si="194"/>
        <v>#REF!</v>
      </c>
      <c r="CU24" s="93" t="e">
        <f t="shared" si="194"/>
        <v>#REF!</v>
      </c>
      <c r="CV24" s="93" t="e">
        <f t="shared" si="194"/>
        <v>#REF!</v>
      </c>
      <c r="CW24" s="104" t="e">
        <f t="shared" si="194"/>
        <v>#REF!</v>
      </c>
      <c r="CX24" s="102" t="e">
        <f t="shared" si="194"/>
        <v>#REF!</v>
      </c>
      <c r="CY24" s="93" t="e">
        <f t="shared" si="194"/>
        <v>#REF!</v>
      </c>
      <c r="CZ24" s="93" t="e">
        <f t="shared" si="195"/>
        <v>#REF!</v>
      </c>
      <c r="DA24" s="93" t="e">
        <f t="shared" si="195"/>
        <v>#REF!</v>
      </c>
      <c r="DB24" s="104" t="e">
        <f t="shared" si="195"/>
        <v>#REF!</v>
      </c>
      <c r="DC24" s="102" t="e">
        <f t="shared" si="195"/>
        <v>#REF!</v>
      </c>
      <c r="DD24" s="93" t="e">
        <f t="shared" si="195"/>
        <v>#REF!</v>
      </c>
      <c r="DE24" s="93" t="e">
        <f t="shared" si="195"/>
        <v>#REF!</v>
      </c>
      <c r="DF24" s="93" t="e">
        <f t="shared" si="195"/>
        <v>#REF!</v>
      </c>
      <c r="DG24" s="104" t="e">
        <f t="shared" si="195"/>
        <v>#REF!</v>
      </c>
      <c r="DH24" s="107"/>
      <c r="DI24" s="106"/>
    </row>
    <row r="25" spans="1:113" s="29" customFormat="1" ht="26" x14ac:dyDescent="0.25">
      <c r="A25" s="37" t="str">
        <f t="shared" si="177"/>
        <v>1.15</v>
      </c>
      <c r="B25" s="122">
        <v>202510117</v>
      </c>
      <c r="C25" s="109" t="str">
        <f>IF(C$7=-1,"",INDEX(INDEX('Project List'!$1:$1048576,0,C$7),MATCH($B25,'Project List'!$A:$A,0)))</f>
        <v>新港路（四平路—大连路）燃气管道搬迁工程</v>
      </c>
      <c r="D25" s="109" t="str">
        <f>IF(D$7=-1,"",INDEX(INDEX('Project List'!$1:$1048576,0,D$7),MATCH($B25,'Project List'!$A:$A,0)))</f>
        <v>管线</v>
      </c>
      <c r="E25" s="109" t="str">
        <f>IF(E$7=-1,"",INDEX(INDEX('Project List'!$1:$1048576,0,E$7),MATCH($B25,'Project List'!$A:$A,0)))</f>
        <v>地铁运营线路10号线四平路站至邮电新村站区间</v>
      </c>
      <c r="F25" s="46">
        <f>IF(F$7=-1,"",INDEX(INDEX('Project List'!$1:$1048576,0,F$7),MATCH($B25,'Project List'!$A:$A,0)))</f>
        <v>45973</v>
      </c>
      <c r="G25" s="46">
        <f t="shared" si="185"/>
        <v>45980</v>
      </c>
      <c r="H25" s="49">
        <f t="shared" si="171"/>
        <v>1</v>
      </c>
      <c r="I25" s="47" t="s">
        <v>6</v>
      </c>
      <c r="J25" s="47" t="s">
        <v>144</v>
      </c>
      <c r="K25" s="47" t="s">
        <v>138</v>
      </c>
      <c r="L25" s="115"/>
      <c r="M25" s="48"/>
      <c r="N25" s="77" t="str">
        <f t="shared" si="186"/>
        <v/>
      </c>
      <c r="O25" s="78" t="str">
        <f t="shared" si="186"/>
        <v/>
      </c>
      <c r="P25" s="78" t="str">
        <f t="shared" si="186"/>
        <v/>
      </c>
      <c r="Q25" s="78" t="str">
        <f t="shared" si="186"/>
        <v/>
      </c>
      <c r="R25" s="78" t="str">
        <f t="shared" si="186"/>
        <v/>
      </c>
      <c r="S25" s="78" t="str">
        <f t="shared" si="186"/>
        <v/>
      </c>
      <c r="T25" s="79" t="str">
        <f t="shared" si="186"/>
        <v/>
      </c>
      <c r="U25" s="77" t="str">
        <f t="shared" si="186"/>
        <v/>
      </c>
      <c r="V25" s="78" t="str">
        <f t="shared" si="186"/>
        <v/>
      </c>
      <c r="W25" s="78" t="str">
        <f t="shared" si="186"/>
        <v/>
      </c>
      <c r="X25" s="78" t="str">
        <f t="shared" si="187"/>
        <v/>
      </c>
      <c r="Y25" s="78" t="str">
        <f t="shared" si="187"/>
        <v/>
      </c>
      <c r="Z25" s="78" t="str">
        <f t="shared" si="187"/>
        <v/>
      </c>
      <c r="AA25" s="79" t="str">
        <f t="shared" si="187"/>
        <v/>
      </c>
      <c r="AB25" s="77" t="str">
        <f t="shared" si="187"/>
        <v/>
      </c>
      <c r="AC25" s="78" t="str">
        <f t="shared" si="187"/>
        <v/>
      </c>
      <c r="AD25" s="78" t="str">
        <f t="shared" si="187"/>
        <v/>
      </c>
      <c r="AE25" s="78" t="str">
        <f t="shared" si="187"/>
        <v/>
      </c>
      <c r="AF25" s="78" t="str">
        <f t="shared" si="187"/>
        <v/>
      </c>
      <c r="AG25" s="78" t="str">
        <f t="shared" si="187"/>
        <v/>
      </c>
      <c r="AH25" s="79" t="str">
        <f t="shared" si="188"/>
        <v/>
      </c>
      <c r="AI25" s="77" t="str">
        <f t="shared" si="188"/>
        <v/>
      </c>
      <c r="AJ25" s="78" t="str">
        <f t="shared" si="188"/>
        <v/>
      </c>
      <c r="AK25" s="78" t="str">
        <f t="shared" si="188"/>
        <v/>
      </c>
      <c r="AL25" s="78" t="str">
        <f t="shared" si="188"/>
        <v/>
      </c>
      <c r="AM25" s="78" t="str">
        <f t="shared" si="188"/>
        <v/>
      </c>
      <c r="AN25" s="78" t="str">
        <f t="shared" si="188"/>
        <v/>
      </c>
      <c r="AO25" s="79" t="str">
        <f t="shared" si="188"/>
        <v/>
      </c>
      <c r="AP25" s="77" t="str">
        <f t="shared" si="188"/>
        <v/>
      </c>
      <c r="AQ25" s="78" t="str">
        <f t="shared" si="188"/>
        <v/>
      </c>
      <c r="AR25" s="78" t="str">
        <f t="shared" si="189"/>
        <v/>
      </c>
      <c r="AS25" s="78" t="str">
        <f t="shared" si="189"/>
        <v/>
      </c>
      <c r="AT25" s="78" t="str">
        <f t="shared" si="189"/>
        <v/>
      </c>
      <c r="AU25" s="78" t="str">
        <f t="shared" si="189"/>
        <v/>
      </c>
      <c r="AV25" s="79" t="str">
        <f t="shared" si="189"/>
        <v/>
      </c>
      <c r="AW25" s="77" t="str">
        <f t="shared" si="189"/>
        <v/>
      </c>
      <c r="AX25" s="78" t="str">
        <f t="shared" si="189"/>
        <v/>
      </c>
      <c r="AY25" s="78" t="str">
        <f t="shared" si="189"/>
        <v/>
      </c>
      <c r="AZ25" s="78" t="str">
        <f t="shared" si="189"/>
        <v/>
      </c>
      <c r="BA25" s="78" t="str">
        <f t="shared" si="189"/>
        <v/>
      </c>
      <c r="BB25" s="78" t="str">
        <f t="shared" si="190"/>
        <v/>
      </c>
      <c r="BC25" s="79" t="str">
        <f t="shared" si="190"/>
        <v/>
      </c>
      <c r="BD25" s="77" t="str">
        <f t="shared" si="190"/>
        <v/>
      </c>
      <c r="BE25" s="78" t="str">
        <f t="shared" si="190"/>
        <v/>
      </c>
      <c r="BF25" s="78" t="str">
        <f t="shared" si="190"/>
        <v/>
      </c>
      <c r="BG25" s="78" t="str">
        <f t="shared" si="190"/>
        <v/>
      </c>
      <c r="BH25" s="78" t="str">
        <f t="shared" si="190"/>
        <v/>
      </c>
      <c r="BI25" s="78" t="str">
        <f t="shared" si="190"/>
        <v/>
      </c>
      <c r="BJ25" s="79" t="str">
        <f t="shared" si="190"/>
        <v/>
      </c>
      <c r="BK25" s="77" t="str">
        <f t="shared" si="190"/>
        <v/>
      </c>
      <c r="BL25" s="78" t="str">
        <f t="shared" si="191"/>
        <v/>
      </c>
      <c r="BM25" s="78" t="str">
        <f t="shared" si="191"/>
        <v/>
      </c>
      <c r="BN25" s="78" t="str">
        <f t="shared" si="191"/>
        <v/>
      </c>
      <c r="BO25" s="78" t="str">
        <f t="shared" si="191"/>
        <v/>
      </c>
      <c r="BP25" s="78" t="str">
        <f t="shared" si="191"/>
        <v/>
      </c>
      <c r="BQ25" s="79" t="str">
        <f t="shared" si="191"/>
        <v/>
      </c>
      <c r="BR25" s="93" t="str">
        <f t="shared" si="191"/>
        <v/>
      </c>
      <c r="BS25" s="93" t="str">
        <f t="shared" si="191"/>
        <v/>
      </c>
      <c r="BT25" s="93" t="str">
        <f t="shared" si="191"/>
        <v/>
      </c>
      <c r="BU25" s="93" t="str">
        <f t="shared" si="191"/>
        <v/>
      </c>
      <c r="BV25" s="93" t="str">
        <f t="shared" si="192"/>
        <v/>
      </c>
      <c r="BW25" s="93" t="str">
        <f t="shared" si="192"/>
        <v/>
      </c>
      <c r="BX25" s="93" t="str">
        <f t="shared" si="192"/>
        <v/>
      </c>
      <c r="BY25" s="93" t="e">
        <f t="shared" si="192"/>
        <v>#REF!</v>
      </c>
      <c r="BZ25" s="93" t="e">
        <f t="shared" si="192"/>
        <v>#REF!</v>
      </c>
      <c r="CA25" s="93" t="e">
        <f t="shared" si="192"/>
        <v>#REF!</v>
      </c>
      <c r="CB25" s="93" t="e">
        <f t="shared" si="192"/>
        <v>#REF!</v>
      </c>
      <c r="CC25" s="93" t="e">
        <f t="shared" si="192"/>
        <v>#REF!</v>
      </c>
      <c r="CD25" s="102" t="e">
        <f t="shared" si="192"/>
        <v>#REF!</v>
      </c>
      <c r="CE25" s="93" t="e">
        <f t="shared" si="192"/>
        <v>#REF!</v>
      </c>
      <c r="CF25" s="93" t="e">
        <f t="shared" si="193"/>
        <v>#REF!</v>
      </c>
      <c r="CG25" s="93" t="e">
        <f t="shared" si="193"/>
        <v>#REF!</v>
      </c>
      <c r="CH25" s="104" t="e">
        <f t="shared" si="193"/>
        <v>#REF!</v>
      </c>
      <c r="CI25" s="102" t="e">
        <f t="shared" si="193"/>
        <v>#REF!</v>
      </c>
      <c r="CJ25" s="93" t="e">
        <f t="shared" si="193"/>
        <v>#REF!</v>
      </c>
      <c r="CK25" s="93" t="e">
        <f t="shared" si="193"/>
        <v>#REF!</v>
      </c>
      <c r="CL25" s="93" t="e">
        <f t="shared" si="193"/>
        <v>#REF!</v>
      </c>
      <c r="CM25" s="104" t="e">
        <f t="shared" si="193"/>
        <v>#REF!</v>
      </c>
      <c r="CN25" s="102" t="e">
        <f t="shared" si="193"/>
        <v>#REF!</v>
      </c>
      <c r="CO25" s="93" t="e">
        <f t="shared" si="193"/>
        <v>#REF!</v>
      </c>
      <c r="CP25" s="93" t="e">
        <f t="shared" si="194"/>
        <v>#REF!</v>
      </c>
      <c r="CQ25" s="93" t="e">
        <f t="shared" si="194"/>
        <v>#REF!</v>
      </c>
      <c r="CR25" s="104" t="e">
        <f t="shared" si="194"/>
        <v>#REF!</v>
      </c>
      <c r="CS25" s="102" t="e">
        <f t="shared" si="194"/>
        <v>#REF!</v>
      </c>
      <c r="CT25" s="93" t="e">
        <f t="shared" si="194"/>
        <v>#REF!</v>
      </c>
      <c r="CU25" s="93" t="e">
        <f t="shared" si="194"/>
        <v>#REF!</v>
      </c>
      <c r="CV25" s="93" t="e">
        <f t="shared" si="194"/>
        <v>#REF!</v>
      </c>
      <c r="CW25" s="104" t="e">
        <f t="shared" si="194"/>
        <v>#REF!</v>
      </c>
      <c r="CX25" s="102" t="e">
        <f t="shared" si="194"/>
        <v>#REF!</v>
      </c>
      <c r="CY25" s="93" t="e">
        <f t="shared" si="194"/>
        <v>#REF!</v>
      </c>
      <c r="CZ25" s="93" t="e">
        <f t="shared" si="195"/>
        <v>#REF!</v>
      </c>
      <c r="DA25" s="93" t="e">
        <f t="shared" si="195"/>
        <v>#REF!</v>
      </c>
      <c r="DB25" s="104" t="e">
        <f t="shared" si="195"/>
        <v>#REF!</v>
      </c>
      <c r="DC25" s="102" t="e">
        <f t="shared" si="195"/>
        <v>#REF!</v>
      </c>
      <c r="DD25" s="93" t="e">
        <f t="shared" si="195"/>
        <v>#REF!</v>
      </c>
      <c r="DE25" s="93" t="e">
        <f t="shared" si="195"/>
        <v>#REF!</v>
      </c>
      <c r="DF25" s="93" t="e">
        <f t="shared" si="195"/>
        <v>#REF!</v>
      </c>
      <c r="DG25" s="104" t="e">
        <f t="shared" si="195"/>
        <v>#REF!</v>
      </c>
      <c r="DH25" s="107"/>
      <c r="DI25" s="106"/>
    </row>
    <row r="26" spans="1:113" s="29" customFormat="1" ht="26" x14ac:dyDescent="0.25">
      <c r="A26" s="37" t="str">
        <f t="shared" si="177"/>
        <v>1.16</v>
      </c>
      <c r="B26" s="122">
        <v>202510113</v>
      </c>
      <c r="C26" s="109" t="str">
        <f>IF(C$7=-1,"",INDEX(INDEX('Project List'!$1:$1048576,0,C$7),MATCH($B26,'Project List'!$A:$A,0)))</f>
        <v>政立路淞沪路-国和路(自投道路改造工程)</v>
      </c>
      <c r="D26" s="109" t="str">
        <f>IF(D$7=-1,"",INDEX(INDEX('Project List'!$1:$1048576,0,D$7),MATCH($B26,'Project List'!$A:$A,0)))</f>
        <v>管线</v>
      </c>
      <c r="E26" s="109" t="str">
        <f>IF(E$7=-1,"",INDEX(INDEX('Project List'!$1:$1048576,0,E$7),MATCH($B26,'Project List'!$A:$A,0)))</f>
        <v>地铁运营线路10号线江湾体育场站至三门路站区间</v>
      </c>
      <c r="F26" s="46">
        <f>IF(F$7=-1,"",INDEX(INDEX('Project List'!$1:$1048576,0,F$7),MATCH($B26,'Project List'!$A:$A,0)))</f>
        <v>45973</v>
      </c>
      <c r="G26" s="46">
        <f t="shared" si="185"/>
        <v>45980</v>
      </c>
      <c r="H26" s="49">
        <f t="shared" si="171"/>
        <v>1</v>
      </c>
      <c r="I26" s="47" t="s">
        <v>6</v>
      </c>
      <c r="J26" s="47" t="s">
        <v>144</v>
      </c>
      <c r="K26" s="47" t="s">
        <v>138</v>
      </c>
      <c r="L26" s="115"/>
      <c r="M26" s="48"/>
      <c r="N26" s="77" t="str">
        <f t="shared" si="186"/>
        <v/>
      </c>
      <c r="O26" s="78" t="str">
        <f t="shared" si="186"/>
        <v/>
      </c>
      <c r="P26" s="78" t="str">
        <f t="shared" si="186"/>
        <v/>
      </c>
      <c r="Q26" s="78" t="str">
        <f t="shared" si="186"/>
        <v/>
      </c>
      <c r="R26" s="78" t="str">
        <f t="shared" si="186"/>
        <v/>
      </c>
      <c r="S26" s="78" t="str">
        <f t="shared" si="186"/>
        <v/>
      </c>
      <c r="T26" s="79" t="str">
        <f t="shared" si="186"/>
        <v/>
      </c>
      <c r="U26" s="77" t="str">
        <f t="shared" si="186"/>
        <v/>
      </c>
      <c r="V26" s="78" t="str">
        <f t="shared" si="186"/>
        <v/>
      </c>
      <c r="W26" s="78" t="str">
        <f t="shared" si="186"/>
        <v/>
      </c>
      <c r="X26" s="78" t="str">
        <f t="shared" si="187"/>
        <v/>
      </c>
      <c r="Y26" s="78" t="str">
        <f t="shared" si="187"/>
        <v/>
      </c>
      <c r="Z26" s="78" t="str">
        <f t="shared" si="187"/>
        <v/>
      </c>
      <c r="AA26" s="79" t="str">
        <f t="shared" si="187"/>
        <v/>
      </c>
      <c r="AB26" s="77" t="str">
        <f t="shared" si="187"/>
        <v/>
      </c>
      <c r="AC26" s="78" t="str">
        <f t="shared" si="187"/>
        <v/>
      </c>
      <c r="AD26" s="78" t="str">
        <f t="shared" si="187"/>
        <v/>
      </c>
      <c r="AE26" s="78" t="str">
        <f t="shared" si="187"/>
        <v/>
      </c>
      <c r="AF26" s="78" t="str">
        <f t="shared" si="187"/>
        <v/>
      </c>
      <c r="AG26" s="78" t="str">
        <f t="shared" si="187"/>
        <v/>
      </c>
      <c r="AH26" s="79" t="str">
        <f t="shared" si="188"/>
        <v/>
      </c>
      <c r="AI26" s="77" t="str">
        <f t="shared" si="188"/>
        <v/>
      </c>
      <c r="AJ26" s="78" t="str">
        <f t="shared" si="188"/>
        <v/>
      </c>
      <c r="AK26" s="78" t="str">
        <f t="shared" si="188"/>
        <v/>
      </c>
      <c r="AL26" s="78" t="str">
        <f t="shared" si="188"/>
        <v/>
      </c>
      <c r="AM26" s="78" t="str">
        <f t="shared" si="188"/>
        <v/>
      </c>
      <c r="AN26" s="78" t="str">
        <f t="shared" si="188"/>
        <v/>
      </c>
      <c r="AO26" s="79" t="str">
        <f t="shared" si="188"/>
        <v/>
      </c>
      <c r="AP26" s="77" t="str">
        <f t="shared" si="188"/>
        <v/>
      </c>
      <c r="AQ26" s="78" t="str">
        <f t="shared" si="188"/>
        <v/>
      </c>
      <c r="AR26" s="78" t="str">
        <f t="shared" si="189"/>
        <v/>
      </c>
      <c r="AS26" s="78" t="str">
        <f t="shared" si="189"/>
        <v/>
      </c>
      <c r="AT26" s="78" t="str">
        <f t="shared" si="189"/>
        <v/>
      </c>
      <c r="AU26" s="78" t="str">
        <f t="shared" si="189"/>
        <v/>
      </c>
      <c r="AV26" s="79" t="str">
        <f t="shared" si="189"/>
        <v/>
      </c>
      <c r="AW26" s="77" t="str">
        <f t="shared" si="189"/>
        <v/>
      </c>
      <c r="AX26" s="78" t="str">
        <f t="shared" si="189"/>
        <v/>
      </c>
      <c r="AY26" s="78" t="str">
        <f t="shared" si="189"/>
        <v/>
      </c>
      <c r="AZ26" s="78" t="str">
        <f t="shared" si="189"/>
        <v/>
      </c>
      <c r="BA26" s="78" t="str">
        <f t="shared" si="189"/>
        <v/>
      </c>
      <c r="BB26" s="78" t="str">
        <f t="shared" si="190"/>
        <v/>
      </c>
      <c r="BC26" s="79" t="str">
        <f t="shared" si="190"/>
        <v/>
      </c>
      <c r="BD26" s="77" t="str">
        <f t="shared" si="190"/>
        <v/>
      </c>
      <c r="BE26" s="78" t="str">
        <f t="shared" si="190"/>
        <v/>
      </c>
      <c r="BF26" s="78" t="str">
        <f t="shared" si="190"/>
        <v/>
      </c>
      <c r="BG26" s="78" t="str">
        <f t="shared" si="190"/>
        <v/>
      </c>
      <c r="BH26" s="78" t="str">
        <f t="shared" si="190"/>
        <v/>
      </c>
      <c r="BI26" s="78" t="str">
        <f t="shared" si="190"/>
        <v/>
      </c>
      <c r="BJ26" s="79" t="str">
        <f t="shared" si="190"/>
        <v/>
      </c>
      <c r="BK26" s="77" t="str">
        <f t="shared" si="190"/>
        <v/>
      </c>
      <c r="BL26" s="78" t="str">
        <f t="shared" si="191"/>
        <v/>
      </c>
      <c r="BM26" s="78" t="str">
        <f t="shared" si="191"/>
        <v/>
      </c>
      <c r="BN26" s="78" t="str">
        <f t="shared" si="191"/>
        <v/>
      </c>
      <c r="BO26" s="78" t="str">
        <f t="shared" si="191"/>
        <v/>
      </c>
      <c r="BP26" s="78" t="str">
        <f t="shared" si="191"/>
        <v/>
      </c>
      <c r="BQ26" s="79" t="str">
        <f t="shared" si="191"/>
        <v/>
      </c>
      <c r="BR26" s="93" t="str">
        <f t="shared" si="191"/>
        <v/>
      </c>
      <c r="BS26" s="93" t="str">
        <f t="shared" si="191"/>
        <v/>
      </c>
      <c r="BT26" s="93" t="str">
        <f t="shared" si="191"/>
        <v/>
      </c>
      <c r="BU26" s="93" t="str">
        <f t="shared" si="191"/>
        <v/>
      </c>
      <c r="BV26" s="93" t="str">
        <f t="shared" si="192"/>
        <v/>
      </c>
      <c r="BW26" s="93" t="str">
        <f t="shared" si="192"/>
        <v/>
      </c>
      <c r="BX26" s="93" t="str">
        <f t="shared" si="192"/>
        <v/>
      </c>
      <c r="BY26" s="93" t="e">
        <f t="shared" si="192"/>
        <v>#REF!</v>
      </c>
      <c r="BZ26" s="93" t="e">
        <f t="shared" si="192"/>
        <v>#REF!</v>
      </c>
      <c r="CA26" s="93" t="e">
        <f t="shared" si="192"/>
        <v>#REF!</v>
      </c>
      <c r="CB26" s="93" t="e">
        <f t="shared" si="192"/>
        <v>#REF!</v>
      </c>
      <c r="CC26" s="93" t="e">
        <f t="shared" si="192"/>
        <v>#REF!</v>
      </c>
      <c r="CD26" s="102" t="e">
        <f t="shared" si="192"/>
        <v>#REF!</v>
      </c>
      <c r="CE26" s="93" t="e">
        <f t="shared" si="192"/>
        <v>#REF!</v>
      </c>
      <c r="CF26" s="93" t="e">
        <f t="shared" si="193"/>
        <v>#REF!</v>
      </c>
      <c r="CG26" s="93" t="e">
        <f t="shared" si="193"/>
        <v>#REF!</v>
      </c>
      <c r="CH26" s="104" t="e">
        <f t="shared" si="193"/>
        <v>#REF!</v>
      </c>
      <c r="CI26" s="102" t="e">
        <f t="shared" si="193"/>
        <v>#REF!</v>
      </c>
      <c r="CJ26" s="93" t="e">
        <f t="shared" si="193"/>
        <v>#REF!</v>
      </c>
      <c r="CK26" s="93" t="e">
        <f t="shared" si="193"/>
        <v>#REF!</v>
      </c>
      <c r="CL26" s="93" t="e">
        <f t="shared" si="193"/>
        <v>#REF!</v>
      </c>
      <c r="CM26" s="104" t="e">
        <f t="shared" si="193"/>
        <v>#REF!</v>
      </c>
      <c r="CN26" s="102" t="e">
        <f t="shared" si="193"/>
        <v>#REF!</v>
      </c>
      <c r="CO26" s="93" t="e">
        <f t="shared" si="193"/>
        <v>#REF!</v>
      </c>
      <c r="CP26" s="93" t="e">
        <f t="shared" si="194"/>
        <v>#REF!</v>
      </c>
      <c r="CQ26" s="93" t="e">
        <f t="shared" si="194"/>
        <v>#REF!</v>
      </c>
      <c r="CR26" s="104" t="e">
        <f t="shared" si="194"/>
        <v>#REF!</v>
      </c>
      <c r="CS26" s="102" t="e">
        <f t="shared" si="194"/>
        <v>#REF!</v>
      </c>
      <c r="CT26" s="93" t="e">
        <f t="shared" si="194"/>
        <v>#REF!</v>
      </c>
      <c r="CU26" s="93" t="e">
        <f t="shared" si="194"/>
        <v>#REF!</v>
      </c>
      <c r="CV26" s="93" t="e">
        <f t="shared" si="194"/>
        <v>#REF!</v>
      </c>
      <c r="CW26" s="104" t="e">
        <f t="shared" si="194"/>
        <v>#REF!</v>
      </c>
      <c r="CX26" s="102" t="e">
        <f t="shared" si="194"/>
        <v>#REF!</v>
      </c>
      <c r="CY26" s="93" t="e">
        <f t="shared" si="194"/>
        <v>#REF!</v>
      </c>
      <c r="CZ26" s="93" t="e">
        <f t="shared" si="195"/>
        <v>#REF!</v>
      </c>
      <c r="DA26" s="93" t="e">
        <f t="shared" si="195"/>
        <v>#REF!</v>
      </c>
      <c r="DB26" s="104" t="e">
        <f t="shared" si="195"/>
        <v>#REF!</v>
      </c>
      <c r="DC26" s="102" t="e">
        <f t="shared" si="195"/>
        <v>#REF!</v>
      </c>
      <c r="DD26" s="93" t="e">
        <f t="shared" si="195"/>
        <v>#REF!</v>
      </c>
      <c r="DE26" s="93" t="e">
        <f t="shared" si="195"/>
        <v>#REF!</v>
      </c>
      <c r="DF26" s="93" t="e">
        <f t="shared" si="195"/>
        <v>#REF!</v>
      </c>
      <c r="DG26" s="104" t="e">
        <f t="shared" si="195"/>
        <v>#REF!</v>
      </c>
      <c r="DH26" s="107"/>
      <c r="DI26" s="106"/>
    </row>
    <row r="27" spans="1:113" s="29" customFormat="1" ht="26" x14ac:dyDescent="0.25">
      <c r="A27" s="37" t="str">
        <f t="shared" si="177"/>
        <v>1.17</v>
      </c>
      <c r="B27" s="122">
        <v>202507014</v>
      </c>
      <c r="C27" s="109" t="str">
        <f>IF(C$7=-1,"",INDEX(INDEX('Project List'!$1:$1048576,0,C$7),MATCH($B27,'Project List'!$A:$A,0)))</f>
        <v>四平路国泰路、四平路国定路燃气管道改造工程</v>
      </c>
      <c r="D27" s="109" t="str">
        <f>IF(D$7=-1,"",INDEX(INDEX('Project List'!$1:$1048576,0,D$7),MATCH($B27,'Project List'!$A:$A,0)))</f>
        <v>管线</v>
      </c>
      <c r="E27" s="109" t="str">
        <f>IF(E$7=-1,"",INDEX(INDEX('Project List'!$1:$1048576,0,E$7),MATCH($B27,'Project List'!$A:$A,0)))</f>
        <v>地铁运营线路10号线国权路站至五角场站区间</v>
      </c>
      <c r="F27" s="46">
        <f>IF(F$7=-1,"",INDEX(INDEX('Project List'!$1:$1048576,0,F$7),MATCH($B27,'Project List'!$A:$A,0)))</f>
        <v>45973</v>
      </c>
      <c r="G27" s="46">
        <f t="shared" si="185"/>
        <v>45980</v>
      </c>
      <c r="H27" s="49">
        <f t="shared" si="171"/>
        <v>1</v>
      </c>
      <c r="I27" s="47" t="s">
        <v>6</v>
      </c>
      <c r="J27" s="47" t="s">
        <v>144</v>
      </c>
      <c r="K27" s="47" t="s">
        <v>138</v>
      </c>
      <c r="L27" s="115"/>
      <c r="M27" s="48"/>
      <c r="N27" s="77" t="str">
        <f t="shared" si="186"/>
        <v/>
      </c>
      <c r="O27" s="78" t="str">
        <f t="shared" si="186"/>
        <v/>
      </c>
      <c r="P27" s="78" t="str">
        <f t="shared" si="186"/>
        <v/>
      </c>
      <c r="Q27" s="78" t="str">
        <f t="shared" si="186"/>
        <v/>
      </c>
      <c r="R27" s="78" t="str">
        <f t="shared" si="186"/>
        <v/>
      </c>
      <c r="S27" s="78" t="str">
        <f t="shared" si="186"/>
        <v/>
      </c>
      <c r="T27" s="79" t="str">
        <f t="shared" si="186"/>
        <v/>
      </c>
      <c r="U27" s="77" t="str">
        <f t="shared" si="186"/>
        <v/>
      </c>
      <c r="V27" s="78" t="str">
        <f t="shared" si="186"/>
        <v/>
      </c>
      <c r="W27" s="78" t="str">
        <f t="shared" si="186"/>
        <v/>
      </c>
      <c r="X27" s="78" t="str">
        <f t="shared" si="187"/>
        <v/>
      </c>
      <c r="Y27" s="78" t="str">
        <f t="shared" si="187"/>
        <v/>
      </c>
      <c r="Z27" s="78" t="str">
        <f t="shared" si="187"/>
        <v/>
      </c>
      <c r="AA27" s="79" t="str">
        <f t="shared" si="187"/>
        <v/>
      </c>
      <c r="AB27" s="77" t="str">
        <f t="shared" si="187"/>
        <v/>
      </c>
      <c r="AC27" s="78" t="str">
        <f t="shared" si="187"/>
        <v/>
      </c>
      <c r="AD27" s="78" t="str">
        <f t="shared" si="187"/>
        <v/>
      </c>
      <c r="AE27" s="78" t="str">
        <f t="shared" si="187"/>
        <v/>
      </c>
      <c r="AF27" s="78" t="str">
        <f t="shared" si="187"/>
        <v/>
      </c>
      <c r="AG27" s="78" t="str">
        <f t="shared" si="187"/>
        <v/>
      </c>
      <c r="AH27" s="79" t="str">
        <f t="shared" si="188"/>
        <v/>
      </c>
      <c r="AI27" s="77" t="str">
        <f t="shared" si="188"/>
        <v/>
      </c>
      <c r="AJ27" s="78" t="str">
        <f t="shared" si="188"/>
        <v/>
      </c>
      <c r="AK27" s="78" t="str">
        <f t="shared" si="188"/>
        <v/>
      </c>
      <c r="AL27" s="78" t="str">
        <f t="shared" si="188"/>
        <v/>
      </c>
      <c r="AM27" s="78" t="str">
        <f t="shared" si="188"/>
        <v/>
      </c>
      <c r="AN27" s="78" t="str">
        <f t="shared" si="188"/>
        <v/>
      </c>
      <c r="AO27" s="79" t="str">
        <f t="shared" si="188"/>
        <v/>
      </c>
      <c r="AP27" s="77" t="str">
        <f t="shared" si="188"/>
        <v/>
      </c>
      <c r="AQ27" s="78" t="str">
        <f t="shared" si="188"/>
        <v/>
      </c>
      <c r="AR27" s="78" t="str">
        <f t="shared" si="189"/>
        <v/>
      </c>
      <c r="AS27" s="78" t="str">
        <f t="shared" si="189"/>
        <v/>
      </c>
      <c r="AT27" s="78" t="str">
        <f t="shared" si="189"/>
        <v/>
      </c>
      <c r="AU27" s="78" t="str">
        <f t="shared" si="189"/>
        <v/>
      </c>
      <c r="AV27" s="79" t="str">
        <f t="shared" si="189"/>
        <v/>
      </c>
      <c r="AW27" s="77" t="str">
        <f t="shared" si="189"/>
        <v/>
      </c>
      <c r="AX27" s="78" t="str">
        <f t="shared" si="189"/>
        <v/>
      </c>
      <c r="AY27" s="78" t="str">
        <f t="shared" si="189"/>
        <v/>
      </c>
      <c r="AZ27" s="78" t="str">
        <f t="shared" si="189"/>
        <v/>
      </c>
      <c r="BA27" s="78" t="str">
        <f t="shared" si="189"/>
        <v/>
      </c>
      <c r="BB27" s="78" t="str">
        <f t="shared" si="190"/>
        <v/>
      </c>
      <c r="BC27" s="79" t="str">
        <f t="shared" si="190"/>
        <v/>
      </c>
      <c r="BD27" s="77" t="str">
        <f t="shared" si="190"/>
        <v/>
      </c>
      <c r="BE27" s="78" t="str">
        <f t="shared" si="190"/>
        <v/>
      </c>
      <c r="BF27" s="78" t="str">
        <f t="shared" si="190"/>
        <v/>
      </c>
      <c r="BG27" s="78" t="str">
        <f t="shared" si="190"/>
        <v/>
      </c>
      <c r="BH27" s="78" t="str">
        <f t="shared" si="190"/>
        <v/>
      </c>
      <c r="BI27" s="78" t="str">
        <f t="shared" si="190"/>
        <v/>
      </c>
      <c r="BJ27" s="79" t="str">
        <f t="shared" si="190"/>
        <v/>
      </c>
      <c r="BK27" s="77" t="str">
        <f t="shared" si="190"/>
        <v/>
      </c>
      <c r="BL27" s="78" t="str">
        <f t="shared" si="191"/>
        <v/>
      </c>
      <c r="BM27" s="78" t="str">
        <f t="shared" si="191"/>
        <v/>
      </c>
      <c r="BN27" s="78" t="str">
        <f t="shared" si="191"/>
        <v/>
      </c>
      <c r="BO27" s="78" t="str">
        <f t="shared" si="191"/>
        <v/>
      </c>
      <c r="BP27" s="78" t="str">
        <f t="shared" si="191"/>
        <v/>
      </c>
      <c r="BQ27" s="79" t="str">
        <f t="shared" si="191"/>
        <v/>
      </c>
      <c r="BR27" s="93" t="str">
        <f t="shared" si="191"/>
        <v/>
      </c>
      <c r="BS27" s="93" t="str">
        <f t="shared" si="191"/>
        <v/>
      </c>
      <c r="BT27" s="93" t="str">
        <f t="shared" si="191"/>
        <v/>
      </c>
      <c r="BU27" s="93" t="str">
        <f t="shared" si="191"/>
        <v/>
      </c>
      <c r="BV27" s="93" t="str">
        <f t="shared" si="192"/>
        <v/>
      </c>
      <c r="BW27" s="93" t="str">
        <f t="shared" si="192"/>
        <v/>
      </c>
      <c r="BX27" s="93" t="str">
        <f t="shared" si="192"/>
        <v/>
      </c>
      <c r="BY27" s="93" t="e">
        <f t="shared" si="192"/>
        <v>#REF!</v>
      </c>
      <c r="BZ27" s="93" t="e">
        <f t="shared" si="192"/>
        <v>#REF!</v>
      </c>
      <c r="CA27" s="93" t="e">
        <f t="shared" si="192"/>
        <v>#REF!</v>
      </c>
      <c r="CB27" s="93" t="e">
        <f t="shared" si="192"/>
        <v>#REF!</v>
      </c>
      <c r="CC27" s="93" t="e">
        <f t="shared" si="192"/>
        <v>#REF!</v>
      </c>
      <c r="CD27" s="102" t="e">
        <f t="shared" si="192"/>
        <v>#REF!</v>
      </c>
      <c r="CE27" s="93" t="e">
        <f t="shared" si="192"/>
        <v>#REF!</v>
      </c>
      <c r="CF27" s="93" t="e">
        <f t="shared" si="193"/>
        <v>#REF!</v>
      </c>
      <c r="CG27" s="93" t="e">
        <f t="shared" si="193"/>
        <v>#REF!</v>
      </c>
      <c r="CH27" s="104" t="e">
        <f t="shared" si="193"/>
        <v>#REF!</v>
      </c>
      <c r="CI27" s="102" t="e">
        <f t="shared" si="193"/>
        <v>#REF!</v>
      </c>
      <c r="CJ27" s="93" t="e">
        <f t="shared" si="193"/>
        <v>#REF!</v>
      </c>
      <c r="CK27" s="93" t="e">
        <f t="shared" si="193"/>
        <v>#REF!</v>
      </c>
      <c r="CL27" s="93" t="e">
        <f t="shared" si="193"/>
        <v>#REF!</v>
      </c>
      <c r="CM27" s="104" t="e">
        <f t="shared" si="193"/>
        <v>#REF!</v>
      </c>
      <c r="CN27" s="102" t="e">
        <f t="shared" si="193"/>
        <v>#REF!</v>
      </c>
      <c r="CO27" s="93" t="e">
        <f t="shared" si="193"/>
        <v>#REF!</v>
      </c>
      <c r="CP27" s="93" t="e">
        <f t="shared" si="194"/>
        <v>#REF!</v>
      </c>
      <c r="CQ27" s="93" t="e">
        <f t="shared" si="194"/>
        <v>#REF!</v>
      </c>
      <c r="CR27" s="104" t="e">
        <f t="shared" si="194"/>
        <v>#REF!</v>
      </c>
      <c r="CS27" s="102" t="e">
        <f t="shared" si="194"/>
        <v>#REF!</v>
      </c>
      <c r="CT27" s="93" t="e">
        <f t="shared" si="194"/>
        <v>#REF!</v>
      </c>
      <c r="CU27" s="93" t="e">
        <f t="shared" si="194"/>
        <v>#REF!</v>
      </c>
      <c r="CV27" s="93" t="e">
        <f t="shared" si="194"/>
        <v>#REF!</v>
      </c>
      <c r="CW27" s="104" t="e">
        <f t="shared" si="194"/>
        <v>#REF!</v>
      </c>
      <c r="CX27" s="102" t="e">
        <f t="shared" si="194"/>
        <v>#REF!</v>
      </c>
      <c r="CY27" s="93" t="e">
        <f t="shared" si="194"/>
        <v>#REF!</v>
      </c>
      <c r="CZ27" s="93" t="e">
        <f t="shared" si="195"/>
        <v>#REF!</v>
      </c>
      <c r="DA27" s="93" t="e">
        <f t="shared" si="195"/>
        <v>#REF!</v>
      </c>
      <c r="DB27" s="104" t="e">
        <f t="shared" si="195"/>
        <v>#REF!</v>
      </c>
      <c r="DC27" s="102" t="e">
        <f t="shared" si="195"/>
        <v>#REF!</v>
      </c>
      <c r="DD27" s="93" t="e">
        <f t="shared" si="195"/>
        <v>#REF!</v>
      </c>
      <c r="DE27" s="93" t="e">
        <f t="shared" si="195"/>
        <v>#REF!</v>
      </c>
      <c r="DF27" s="93" t="e">
        <f t="shared" si="195"/>
        <v>#REF!</v>
      </c>
      <c r="DG27" s="104" t="e">
        <f t="shared" si="195"/>
        <v>#REF!</v>
      </c>
      <c r="DH27" s="107"/>
      <c r="DI27" s="106"/>
    </row>
    <row r="28" spans="1:113" s="29" customFormat="1" ht="26" x14ac:dyDescent="0.25">
      <c r="A28" s="37" t="str">
        <f t="shared" si="177"/>
        <v>1.18</v>
      </c>
      <c r="B28" s="122">
        <v>202510066</v>
      </c>
      <c r="C28" s="109" t="str">
        <f>IF(C$7=-1,"",INDEX(INDEX('Project List'!$1:$1048576,0,C$7),MATCH($B28,'Project List'!$A:$A,0)))</f>
        <v>临平北路5弄、89弄、四平路288弄燃气管道改造</v>
      </c>
      <c r="D28" s="109" t="str">
        <f>IF(D$7=-1,"",INDEX(INDEX('Project List'!$1:$1048576,0,D$7),MATCH($B28,'Project List'!$A:$A,0)))</f>
        <v>管线</v>
      </c>
      <c r="E28" s="109" t="str">
        <f>IF(E$7=-1,"",INDEX(INDEX('Project List'!$1:$1048576,0,E$7),MATCH($B28,'Project List'!$A:$A,0)))</f>
        <v>地铁运营线路10号线四平路站至邮电新村站区间</v>
      </c>
      <c r="F28" s="46">
        <f>IF(F$7=-1,"",INDEX(INDEX('Project List'!$1:$1048576,0,F$7),MATCH($B28,'Project List'!$A:$A,0)))</f>
        <v>45974</v>
      </c>
      <c r="G28" s="46">
        <f t="shared" si="185"/>
        <v>45981</v>
      </c>
      <c r="H28" s="49">
        <f t="shared" si="171"/>
        <v>1</v>
      </c>
      <c r="I28" s="47" t="s">
        <v>6</v>
      </c>
      <c r="J28" s="47" t="s">
        <v>144</v>
      </c>
      <c r="K28" s="47" t="s">
        <v>138</v>
      </c>
      <c r="L28" s="115"/>
      <c r="M28" s="48"/>
      <c r="N28" s="77" t="str">
        <f t="shared" si="186"/>
        <v/>
      </c>
      <c r="O28" s="78" t="str">
        <f t="shared" si="186"/>
        <v/>
      </c>
      <c r="P28" s="78" t="str">
        <f t="shared" si="186"/>
        <v/>
      </c>
      <c r="Q28" s="78" t="str">
        <f t="shared" si="186"/>
        <v/>
      </c>
      <c r="R28" s="78" t="str">
        <f t="shared" si="186"/>
        <v/>
      </c>
      <c r="S28" s="78" t="str">
        <f t="shared" si="186"/>
        <v/>
      </c>
      <c r="T28" s="79" t="str">
        <f t="shared" si="186"/>
        <v/>
      </c>
      <c r="U28" s="77" t="str">
        <f t="shared" si="186"/>
        <v/>
      </c>
      <c r="V28" s="78" t="str">
        <f t="shared" si="186"/>
        <v/>
      </c>
      <c r="W28" s="78" t="str">
        <f t="shared" si="186"/>
        <v/>
      </c>
      <c r="X28" s="78" t="str">
        <f t="shared" si="187"/>
        <v/>
      </c>
      <c r="Y28" s="78" t="str">
        <f t="shared" si="187"/>
        <v/>
      </c>
      <c r="Z28" s="78" t="str">
        <f t="shared" si="187"/>
        <v/>
      </c>
      <c r="AA28" s="79" t="str">
        <f t="shared" si="187"/>
        <v/>
      </c>
      <c r="AB28" s="77" t="str">
        <f t="shared" si="187"/>
        <v/>
      </c>
      <c r="AC28" s="78" t="str">
        <f t="shared" si="187"/>
        <v/>
      </c>
      <c r="AD28" s="78" t="str">
        <f t="shared" si="187"/>
        <v/>
      </c>
      <c r="AE28" s="78" t="str">
        <f t="shared" si="187"/>
        <v/>
      </c>
      <c r="AF28" s="78" t="str">
        <f t="shared" si="187"/>
        <v/>
      </c>
      <c r="AG28" s="78" t="str">
        <f t="shared" si="187"/>
        <v/>
      </c>
      <c r="AH28" s="79" t="str">
        <f t="shared" si="188"/>
        <v/>
      </c>
      <c r="AI28" s="77" t="str">
        <f t="shared" si="188"/>
        <v/>
      </c>
      <c r="AJ28" s="78" t="str">
        <f t="shared" si="188"/>
        <v/>
      </c>
      <c r="AK28" s="78" t="str">
        <f t="shared" si="188"/>
        <v/>
      </c>
      <c r="AL28" s="78" t="str">
        <f t="shared" si="188"/>
        <v/>
      </c>
      <c r="AM28" s="78" t="str">
        <f t="shared" si="188"/>
        <v/>
      </c>
      <c r="AN28" s="78" t="str">
        <f t="shared" si="188"/>
        <v/>
      </c>
      <c r="AO28" s="79" t="str">
        <f t="shared" si="188"/>
        <v/>
      </c>
      <c r="AP28" s="77" t="str">
        <f t="shared" si="188"/>
        <v/>
      </c>
      <c r="AQ28" s="78" t="str">
        <f t="shared" si="188"/>
        <v/>
      </c>
      <c r="AR28" s="78" t="str">
        <f t="shared" si="189"/>
        <v/>
      </c>
      <c r="AS28" s="78" t="str">
        <f t="shared" si="189"/>
        <v/>
      </c>
      <c r="AT28" s="78" t="str">
        <f t="shared" si="189"/>
        <v/>
      </c>
      <c r="AU28" s="78" t="str">
        <f t="shared" si="189"/>
        <v/>
      </c>
      <c r="AV28" s="79" t="str">
        <f t="shared" si="189"/>
        <v/>
      </c>
      <c r="AW28" s="77" t="str">
        <f t="shared" si="189"/>
        <v/>
      </c>
      <c r="AX28" s="78" t="str">
        <f t="shared" si="189"/>
        <v/>
      </c>
      <c r="AY28" s="78" t="str">
        <f t="shared" si="189"/>
        <v/>
      </c>
      <c r="AZ28" s="78" t="str">
        <f t="shared" si="189"/>
        <v/>
      </c>
      <c r="BA28" s="78" t="str">
        <f t="shared" si="189"/>
        <v/>
      </c>
      <c r="BB28" s="78" t="str">
        <f t="shared" si="190"/>
        <v/>
      </c>
      <c r="BC28" s="79" t="str">
        <f t="shared" si="190"/>
        <v/>
      </c>
      <c r="BD28" s="77" t="str">
        <f t="shared" si="190"/>
        <v/>
      </c>
      <c r="BE28" s="78" t="str">
        <f t="shared" si="190"/>
        <v/>
      </c>
      <c r="BF28" s="78" t="str">
        <f t="shared" si="190"/>
        <v/>
      </c>
      <c r="BG28" s="78" t="str">
        <f t="shared" si="190"/>
        <v/>
      </c>
      <c r="BH28" s="78" t="str">
        <f t="shared" si="190"/>
        <v/>
      </c>
      <c r="BI28" s="78" t="str">
        <f t="shared" si="190"/>
        <v/>
      </c>
      <c r="BJ28" s="79" t="str">
        <f t="shared" si="190"/>
        <v/>
      </c>
      <c r="BK28" s="77" t="str">
        <f t="shared" si="190"/>
        <v/>
      </c>
      <c r="BL28" s="78" t="str">
        <f t="shared" si="191"/>
        <v/>
      </c>
      <c r="BM28" s="78" t="str">
        <f t="shared" si="191"/>
        <v/>
      </c>
      <c r="BN28" s="78" t="str">
        <f t="shared" si="191"/>
        <v/>
      </c>
      <c r="BO28" s="78" t="str">
        <f t="shared" si="191"/>
        <v/>
      </c>
      <c r="BP28" s="78" t="str">
        <f t="shared" si="191"/>
        <v/>
      </c>
      <c r="BQ28" s="79" t="str">
        <f t="shared" si="191"/>
        <v/>
      </c>
      <c r="BR28" s="93" t="str">
        <f t="shared" si="191"/>
        <v/>
      </c>
      <c r="BS28" s="93" t="str">
        <f t="shared" si="191"/>
        <v/>
      </c>
      <c r="BT28" s="93" t="str">
        <f t="shared" si="191"/>
        <v/>
      </c>
      <c r="BU28" s="93" t="str">
        <f t="shared" si="191"/>
        <v/>
      </c>
      <c r="BV28" s="93" t="str">
        <f t="shared" si="192"/>
        <v/>
      </c>
      <c r="BW28" s="93" t="str">
        <f t="shared" si="192"/>
        <v/>
      </c>
      <c r="BX28" s="93" t="str">
        <f t="shared" si="192"/>
        <v/>
      </c>
      <c r="BY28" s="93" t="e">
        <f t="shared" si="192"/>
        <v>#REF!</v>
      </c>
      <c r="BZ28" s="93" t="e">
        <f t="shared" si="192"/>
        <v>#REF!</v>
      </c>
      <c r="CA28" s="93" t="e">
        <f t="shared" si="192"/>
        <v>#REF!</v>
      </c>
      <c r="CB28" s="93" t="e">
        <f t="shared" si="192"/>
        <v>#REF!</v>
      </c>
      <c r="CC28" s="93" t="e">
        <f t="shared" si="192"/>
        <v>#REF!</v>
      </c>
      <c r="CD28" s="102" t="e">
        <f t="shared" si="192"/>
        <v>#REF!</v>
      </c>
      <c r="CE28" s="93" t="e">
        <f t="shared" si="192"/>
        <v>#REF!</v>
      </c>
      <c r="CF28" s="93" t="e">
        <f t="shared" si="193"/>
        <v>#REF!</v>
      </c>
      <c r="CG28" s="93" t="e">
        <f t="shared" si="193"/>
        <v>#REF!</v>
      </c>
      <c r="CH28" s="104" t="e">
        <f t="shared" si="193"/>
        <v>#REF!</v>
      </c>
      <c r="CI28" s="102" t="e">
        <f t="shared" si="193"/>
        <v>#REF!</v>
      </c>
      <c r="CJ28" s="93" t="e">
        <f t="shared" si="193"/>
        <v>#REF!</v>
      </c>
      <c r="CK28" s="93" t="e">
        <f t="shared" si="193"/>
        <v>#REF!</v>
      </c>
      <c r="CL28" s="93" t="e">
        <f t="shared" si="193"/>
        <v>#REF!</v>
      </c>
      <c r="CM28" s="104" t="e">
        <f t="shared" si="193"/>
        <v>#REF!</v>
      </c>
      <c r="CN28" s="102" t="e">
        <f t="shared" si="193"/>
        <v>#REF!</v>
      </c>
      <c r="CO28" s="93" t="e">
        <f t="shared" si="193"/>
        <v>#REF!</v>
      </c>
      <c r="CP28" s="93" t="e">
        <f t="shared" si="194"/>
        <v>#REF!</v>
      </c>
      <c r="CQ28" s="93" t="e">
        <f t="shared" si="194"/>
        <v>#REF!</v>
      </c>
      <c r="CR28" s="104" t="e">
        <f t="shared" si="194"/>
        <v>#REF!</v>
      </c>
      <c r="CS28" s="102" t="e">
        <f t="shared" si="194"/>
        <v>#REF!</v>
      </c>
      <c r="CT28" s="93" t="e">
        <f t="shared" si="194"/>
        <v>#REF!</v>
      </c>
      <c r="CU28" s="93" t="e">
        <f t="shared" si="194"/>
        <v>#REF!</v>
      </c>
      <c r="CV28" s="93" t="e">
        <f t="shared" si="194"/>
        <v>#REF!</v>
      </c>
      <c r="CW28" s="104" t="e">
        <f t="shared" si="194"/>
        <v>#REF!</v>
      </c>
      <c r="CX28" s="102" t="e">
        <f t="shared" si="194"/>
        <v>#REF!</v>
      </c>
      <c r="CY28" s="93" t="e">
        <f t="shared" si="194"/>
        <v>#REF!</v>
      </c>
      <c r="CZ28" s="93" t="e">
        <f t="shared" si="195"/>
        <v>#REF!</v>
      </c>
      <c r="DA28" s="93" t="e">
        <f t="shared" si="195"/>
        <v>#REF!</v>
      </c>
      <c r="DB28" s="104" t="e">
        <f t="shared" si="195"/>
        <v>#REF!</v>
      </c>
      <c r="DC28" s="102" t="e">
        <f t="shared" si="195"/>
        <v>#REF!</v>
      </c>
      <c r="DD28" s="93" t="e">
        <f t="shared" si="195"/>
        <v>#REF!</v>
      </c>
      <c r="DE28" s="93" t="e">
        <f t="shared" si="195"/>
        <v>#REF!</v>
      </c>
      <c r="DF28" s="93" t="e">
        <f t="shared" si="195"/>
        <v>#REF!</v>
      </c>
      <c r="DG28" s="104" t="e">
        <f t="shared" si="195"/>
        <v>#REF!</v>
      </c>
      <c r="DH28" s="107"/>
      <c r="DI28" s="106"/>
    </row>
    <row r="29" spans="1:113" s="29" customFormat="1" ht="96" x14ac:dyDescent="0.25">
      <c r="A29" s="37" t="str">
        <f t="shared" si="177"/>
        <v>1.19</v>
      </c>
      <c r="B29" s="122">
        <v>202510073</v>
      </c>
      <c r="C29" s="109" t="str">
        <f>IF(C$7=-1,"",INDEX(INDEX('Project List'!$1:$1048576,0,C$7),MATCH($B29,'Project List'!$A:$A,0)))</f>
        <v>四平路（庆阳路-溧阳路）燃气管道改造</v>
      </c>
      <c r="D29" s="109" t="str">
        <f>IF(D$7=-1,"",INDEX(INDEX('Project List'!$1:$1048576,0,D$7),MATCH($B29,'Project List'!$A:$A,0)))</f>
        <v>管线</v>
      </c>
      <c r="E29" s="109" t="str">
        <f>IF(E$7=-1,"",INDEX(INDEX('Project List'!$1:$1048576,0,E$7),MATCH($B29,'Project List'!$A:$A,0)))</f>
        <v>地铁运营线路10号线海伦路站至邮电新村站区间</v>
      </c>
      <c r="F29" s="46">
        <f>IF(F$7=-1,"",INDEX(INDEX('Project List'!$1:$1048576,0,F$7),MATCH($B29,'Project List'!$A:$A,0)))</f>
        <v>45974</v>
      </c>
      <c r="G29" s="46">
        <f t="shared" si="185"/>
        <v>45981</v>
      </c>
      <c r="H29" s="49">
        <f t="shared" si="171"/>
        <v>1</v>
      </c>
      <c r="I29" s="47" t="s">
        <v>6</v>
      </c>
      <c r="J29" s="47" t="s">
        <v>41</v>
      </c>
      <c r="K29" s="47" t="s">
        <v>41</v>
      </c>
      <c r="L29" s="115" t="s">
        <v>210</v>
      </c>
      <c r="M29" s="48"/>
      <c r="N29" s="77" t="str">
        <f t="shared" si="186"/>
        <v/>
      </c>
      <c r="O29" s="78" t="str">
        <f t="shared" si="186"/>
        <v/>
      </c>
      <c r="P29" s="78" t="str">
        <f t="shared" si="186"/>
        <v/>
      </c>
      <c r="Q29" s="78" t="str">
        <f t="shared" si="186"/>
        <v/>
      </c>
      <c r="R29" s="78" t="str">
        <f t="shared" si="186"/>
        <v/>
      </c>
      <c r="S29" s="78" t="str">
        <f t="shared" si="186"/>
        <v/>
      </c>
      <c r="T29" s="79" t="str">
        <f t="shared" si="186"/>
        <v/>
      </c>
      <c r="U29" s="77" t="str">
        <f t="shared" si="186"/>
        <v/>
      </c>
      <c r="V29" s="78" t="str">
        <f t="shared" si="186"/>
        <v/>
      </c>
      <c r="W29" s="78" t="str">
        <f t="shared" si="186"/>
        <v/>
      </c>
      <c r="X29" s="78" t="str">
        <f t="shared" si="187"/>
        <v/>
      </c>
      <c r="Y29" s="78" t="str">
        <f t="shared" si="187"/>
        <v/>
      </c>
      <c r="Z29" s="78" t="str">
        <f t="shared" si="187"/>
        <v/>
      </c>
      <c r="AA29" s="79" t="str">
        <f t="shared" si="187"/>
        <v/>
      </c>
      <c r="AB29" s="77" t="str">
        <f t="shared" si="187"/>
        <v/>
      </c>
      <c r="AC29" s="78" t="str">
        <f t="shared" si="187"/>
        <v/>
      </c>
      <c r="AD29" s="78" t="str">
        <f t="shared" si="187"/>
        <v/>
      </c>
      <c r="AE29" s="78" t="str">
        <f t="shared" si="187"/>
        <v/>
      </c>
      <c r="AF29" s="78" t="str">
        <f t="shared" si="187"/>
        <v/>
      </c>
      <c r="AG29" s="78" t="str">
        <f t="shared" si="187"/>
        <v/>
      </c>
      <c r="AH29" s="79" t="str">
        <f t="shared" si="188"/>
        <v/>
      </c>
      <c r="AI29" s="77" t="str">
        <f t="shared" si="188"/>
        <v/>
      </c>
      <c r="AJ29" s="78" t="str">
        <f t="shared" si="188"/>
        <v/>
      </c>
      <c r="AK29" s="78" t="str">
        <f t="shared" si="188"/>
        <v/>
      </c>
      <c r="AL29" s="78" t="str">
        <f t="shared" si="188"/>
        <v/>
      </c>
      <c r="AM29" s="78" t="str">
        <f t="shared" si="188"/>
        <v/>
      </c>
      <c r="AN29" s="78" t="str">
        <f t="shared" si="188"/>
        <v/>
      </c>
      <c r="AO29" s="79" t="str">
        <f t="shared" si="188"/>
        <v/>
      </c>
      <c r="AP29" s="77" t="str">
        <f t="shared" si="188"/>
        <v/>
      </c>
      <c r="AQ29" s="78" t="str">
        <f t="shared" si="188"/>
        <v/>
      </c>
      <c r="AR29" s="78" t="str">
        <f t="shared" si="189"/>
        <v/>
      </c>
      <c r="AS29" s="78" t="str">
        <f t="shared" si="189"/>
        <v/>
      </c>
      <c r="AT29" s="78" t="str">
        <f t="shared" si="189"/>
        <v/>
      </c>
      <c r="AU29" s="78" t="str">
        <f t="shared" si="189"/>
        <v/>
      </c>
      <c r="AV29" s="79" t="str">
        <f t="shared" si="189"/>
        <v/>
      </c>
      <c r="AW29" s="77" t="str">
        <f t="shared" si="189"/>
        <v/>
      </c>
      <c r="AX29" s="78" t="str">
        <f t="shared" si="189"/>
        <v/>
      </c>
      <c r="AY29" s="78" t="str">
        <f t="shared" si="189"/>
        <v/>
      </c>
      <c r="AZ29" s="78" t="str">
        <f t="shared" si="189"/>
        <v/>
      </c>
      <c r="BA29" s="78" t="str">
        <f t="shared" si="189"/>
        <v/>
      </c>
      <c r="BB29" s="78" t="str">
        <f t="shared" si="190"/>
        <v/>
      </c>
      <c r="BC29" s="79" t="str">
        <f t="shared" si="190"/>
        <v/>
      </c>
      <c r="BD29" s="77" t="str">
        <f t="shared" si="190"/>
        <v/>
      </c>
      <c r="BE29" s="78" t="str">
        <f t="shared" si="190"/>
        <v/>
      </c>
      <c r="BF29" s="78" t="str">
        <f t="shared" si="190"/>
        <v/>
      </c>
      <c r="BG29" s="78" t="str">
        <f t="shared" si="190"/>
        <v/>
      </c>
      <c r="BH29" s="78" t="str">
        <f t="shared" si="190"/>
        <v/>
      </c>
      <c r="BI29" s="78" t="str">
        <f t="shared" si="190"/>
        <v/>
      </c>
      <c r="BJ29" s="79" t="str">
        <f t="shared" si="190"/>
        <v/>
      </c>
      <c r="BK29" s="77" t="str">
        <f t="shared" si="190"/>
        <v/>
      </c>
      <c r="BL29" s="78" t="str">
        <f t="shared" si="191"/>
        <v/>
      </c>
      <c r="BM29" s="78" t="str">
        <f t="shared" si="191"/>
        <v/>
      </c>
      <c r="BN29" s="78" t="str">
        <f t="shared" si="191"/>
        <v/>
      </c>
      <c r="BO29" s="78" t="str">
        <f t="shared" si="191"/>
        <v/>
      </c>
      <c r="BP29" s="78" t="str">
        <f t="shared" si="191"/>
        <v/>
      </c>
      <c r="BQ29" s="79" t="str">
        <f t="shared" si="191"/>
        <v/>
      </c>
      <c r="BR29" s="93" t="str">
        <f t="shared" si="191"/>
        <v/>
      </c>
      <c r="BS29" s="93" t="str">
        <f t="shared" si="191"/>
        <v/>
      </c>
      <c r="BT29" s="93" t="str">
        <f t="shared" si="191"/>
        <v/>
      </c>
      <c r="BU29" s="93" t="str">
        <f t="shared" si="191"/>
        <v/>
      </c>
      <c r="BV29" s="93" t="str">
        <f t="shared" si="192"/>
        <v/>
      </c>
      <c r="BW29" s="93" t="str">
        <f t="shared" si="192"/>
        <v/>
      </c>
      <c r="BX29" s="93" t="str">
        <f t="shared" si="192"/>
        <v/>
      </c>
      <c r="BY29" s="93" t="e">
        <f t="shared" si="192"/>
        <v>#REF!</v>
      </c>
      <c r="BZ29" s="93" t="e">
        <f t="shared" si="192"/>
        <v>#REF!</v>
      </c>
      <c r="CA29" s="93" t="e">
        <f t="shared" si="192"/>
        <v>#REF!</v>
      </c>
      <c r="CB29" s="93" t="e">
        <f t="shared" si="192"/>
        <v>#REF!</v>
      </c>
      <c r="CC29" s="93" t="e">
        <f t="shared" si="192"/>
        <v>#REF!</v>
      </c>
      <c r="CD29" s="102" t="e">
        <f t="shared" si="192"/>
        <v>#REF!</v>
      </c>
      <c r="CE29" s="93" t="e">
        <f t="shared" si="192"/>
        <v>#REF!</v>
      </c>
      <c r="CF29" s="93" t="e">
        <f t="shared" si="193"/>
        <v>#REF!</v>
      </c>
      <c r="CG29" s="93" t="e">
        <f t="shared" si="193"/>
        <v>#REF!</v>
      </c>
      <c r="CH29" s="104" t="e">
        <f t="shared" si="193"/>
        <v>#REF!</v>
      </c>
      <c r="CI29" s="102" t="e">
        <f t="shared" si="193"/>
        <v>#REF!</v>
      </c>
      <c r="CJ29" s="93" t="e">
        <f t="shared" si="193"/>
        <v>#REF!</v>
      </c>
      <c r="CK29" s="93" t="e">
        <f t="shared" si="193"/>
        <v>#REF!</v>
      </c>
      <c r="CL29" s="93" t="e">
        <f t="shared" si="193"/>
        <v>#REF!</v>
      </c>
      <c r="CM29" s="104" t="e">
        <f t="shared" si="193"/>
        <v>#REF!</v>
      </c>
      <c r="CN29" s="102" t="e">
        <f t="shared" si="193"/>
        <v>#REF!</v>
      </c>
      <c r="CO29" s="93" t="e">
        <f t="shared" si="193"/>
        <v>#REF!</v>
      </c>
      <c r="CP29" s="93" t="e">
        <f t="shared" si="194"/>
        <v>#REF!</v>
      </c>
      <c r="CQ29" s="93" t="e">
        <f t="shared" si="194"/>
        <v>#REF!</v>
      </c>
      <c r="CR29" s="104" t="e">
        <f t="shared" si="194"/>
        <v>#REF!</v>
      </c>
      <c r="CS29" s="102" t="e">
        <f t="shared" si="194"/>
        <v>#REF!</v>
      </c>
      <c r="CT29" s="93" t="e">
        <f t="shared" si="194"/>
        <v>#REF!</v>
      </c>
      <c r="CU29" s="93" t="e">
        <f t="shared" si="194"/>
        <v>#REF!</v>
      </c>
      <c r="CV29" s="93" t="e">
        <f t="shared" si="194"/>
        <v>#REF!</v>
      </c>
      <c r="CW29" s="104" t="e">
        <f t="shared" si="194"/>
        <v>#REF!</v>
      </c>
      <c r="CX29" s="102" t="e">
        <f t="shared" si="194"/>
        <v>#REF!</v>
      </c>
      <c r="CY29" s="93" t="e">
        <f t="shared" si="194"/>
        <v>#REF!</v>
      </c>
      <c r="CZ29" s="93" t="e">
        <f t="shared" si="195"/>
        <v>#REF!</v>
      </c>
      <c r="DA29" s="93" t="e">
        <f t="shared" si="195"/>
        <v>#REF!</v>
      </c>
      <c r="DB29" s="104" t="e">
        <f t="shared" si="195"/>
        <v>#REF!</v>
      </c>
      <c r="DC29" s="102" t="e">
        <f t="shared" si="195"/>
        <v>#REF!</v>
      </c>
      <c r="DD29" s="93" t="e">
        <f t="shared" si="195"/>
        <v>#REF!</v>
      </c>
      <c r="DE29" s="93" t="e">
        <f t="shared" si="195"/>
        <v>#REF!</v>
      </c>
      <c r="DF29" s="93" t="e">
        <f t="shared" si="195"/>
        <v>#REF!</v>
      </c>
      <c r="DG29" s="104" t="e">
        <f t="shared" si="195"/>
        <v>#REF!</v>
      </c>
      <c r="DH29" s="107"/>
      <c r="DI29" s="106"/>
    </row>
    <row r="30" spans="1:113" s="29" customFormat="1" ht="26" x14ac:dyDescent="0.25">
      <c r="A30" s="37" t="str">
        <f t="shared" si="177"/>
        <v>1.20</v>
      </c>
      <c r="B30" s="122">
        <v>202510042</v>
      </c>
      <c r="C30" s="109" t="str">
        <f>IF(C$7=-1,"",INDEX(INDEX('Project List'!$1:$1048576,0,C$7),MATCH($B30,'Project List'!$A:$A,0)))</f>
        <v>骏达路北段（曹安公路-童家桥路）燃气配套工程</v>
      </c>
      <c r="D30" s="109" t="str">
        <f>IF(D$7=-1,"",INDEX(INDEX('Project List'!$1:$1048576,0,D$7),MATCH($B30,'Project List'!$A:$A,0)))</f>
        <v>管线</v>
      </c>
      <c r="E30" s="109" t="str">
        <f>IF(E$7=-1,"",INDEX(INDEX('Project List'!$1:$1048576,0,E$7),MATCH($B30,'Project List'!$A:$A,0)))</f>
        <v>地铁运营线路14号线曹安公路站至嘉怡路站区间</v>
      </c>
      <c r="F30" s="46">
        <f>IF(F$7=-1,"",INDEX(INDEX('Project List'!$1:$1048576,0,F$7),MATCH($B30,'Project List'!$A:$A,0)))</f>
        <v>45974</v>
      </c>
      <c r="G30" s="46">
        <f t="shared" si="185"/>
        <v>45981</v>
      </c>
      <c r="H30" s="49">
        <f t="shared" si="171"/>
        <v>1</v>
      </c>
      <c r="I30" s="47" t="s">
        <v>6</v>
      </c>
      <c r="J30" s="47" t="s">
        <v>144</v>
      </c>
      <c r="K30" s="47" t="s">
        <v>138</v>
      </c>
      <c r="L30" s="115"/>
      <c r="M30" s="48"/>
      <c r="N30" s="77" t="str">
        <f t="shared" si="186"/>
        <v/>
      </c>
      <c r="O30" s="78" t="str">
        <f t="shared" si="186"/>
        <v/>
      </c>
      <c r="P30" s="78" t="str">
        <f t="shared" si="186"/>
        <v/>
      </c>
      <c r="Q30" s="78" t="str">
        <f t="shared" si="186"/>
        <v/>
      </c>
      <c r="R30" s="78" t="str">
        <f t="shared" si="186"/>
        <v/>
      </c>
      <c r="S30" s="78" t="str">
        <f t="shared" si="186"/>
        <v/>
      </c>
      <c r="T30" s="79" t="str">
        <f t="shared" si="186"/>
        <v/>
      </c>
      <c r="U30" s="77" t="str">
        <f t="shared" si="186"/>
        <v/>
      </c>
      <c r="V30" s="78" t="str">
        <f t="shared" si="186"/>
        <v/>
      </c>
      <c r="W30" s="78" t="str">
        <f t="shared" si="186"/>
        <v/>
      </c>
      <c r="X30" s="78" t="str">
        <f t="shared" si="187"/>
        <v/>
      </c>
      <c r="Y30" s="78" t="str">
        <f t="shared" si="187"/>
        <v/>
      </c>
      <c r="Z30" s="78" t="str">
        <f t="shared" si="187"/>
        <v/>
      </c>
      <c r="AA30" s="79" t="str">
        <f t="shared" si="187"/>
        <v/>
      </c>
      <c r="AB30" s="77" t="str">
        <f t="shared" si="187"/>
        <v/>
      </c>
      <c r="AC30" s="78" t="str">
        <f t="shared" si="187"/>
        <v/>
      </c>
      <c r="AD30" s="78" t="str">
        <f t="shared" si="187"/>
        <v/>
      </c>
      <c r="AE30" s="78" t="str">
        <f t="shared" si="187"/>
        <v/>
      </c>
      <c r="AF30" s="78" t="str">
        <f t="shared" si="187"/>
        <v/>
      </c>
      <c r="AG30" s="78" t="str">
        <f t="shared" si="187"/>
        <v/>
      </c>
      <c r="AH30" s="79" t="str">
        <f t="shared" si="188"/>
        <v/>
      </c>
      <c r="AI30" s="77" t="str">
        <f t="shared" si="188"/>
        <v/>
      </c>
      <c r="AJ30" s="78" t="str">
        <f t="shared" si="188"/>
        <v/>
      </c>
      <c r="AK30" s="78" t="str">
        <f t="shared" si="188"/>
        <v/>
      </c>
      <c r="AL30" s="78" t="str">
        <f t="shared" si="188"/>
        <v/>
      </c>
      <c r="AM30" s="78" t="str">
        <f t="shared" si="188"/>
        <v/>
      </c>
      <c r="AN30" s="78" t="str">
        <f t="shared" si="188"/>
        <v/>
      </c>
      <c r="AO30" s="79" t="str">
        <f t="shared" si="188"/>
        <v/>
      </c>
      <c r="AP30" s="77" t="str">
        <f t="shared" si="188"/>
        <v/>
      </c>
      <c r="AQ30" s="78" t="str">
        <f t="shared" si="188"/>
        <v/>
      </c>
      <c r="AR30" s="78" t="str">
        <f t="shared" si="189"/>
        <v/>
      </c>
      <c r="AS30" s="78" t="str">
        <f t="shared" si="189"/>
        <v/>
      </c>
      <c r="AT30" s="78" t="str">
        <f t="shared" si="189"/>
        <v/>
      </c>
      <c r="AU30" s="78" t="str">
        <f t="shared" si="189"/>
        <v/>
      </c>
      <c r="AV30" s="79" t="str">
        <f t="shared" si="189"/>
        <v/>
      </c>
      <c r="AW30" s="77" t="str">
        <f t="shared" si="189"/>
        <v/>
      </c>
      <c r="AX30" s="78" t="str">
        <f t="shared" si="189"/>
        <v/>
      </c>
      <c r="AY30" s="78" t="str">
        <f t="shared" si="189"/>
        <v/>
      </c>
      <c r="AZ30" s="78" t="str">
        <f t="shared" si="189"/>
        <v/>
      </c>
      <c r="BA30" s="78" t="str">
        <f t="shared" si="189"/>
        <v/>
      </c>
      <c r="BB30" s="78" t="str">
        <f t="shared" si="190"/>
        <v/>
      </c>
      <c r="BC30" s="79" t="str">
        <f t="shared" si="190"/>
        <v/>
      </c>
      <c r="BD30" s="77" t="str">
        <f t="shared" si="190"/>
        <v/>
      </c>
      <c r="BE30" s="78" t="str">
        <f t="shared" si="190"/>
        <v/>
      </c>
      <c r="BF30" s="78" t="str">
        <f t="shared" si="190"/>
        <v/>
      </c>
      <c r="BG30" s="78" t="str">
        <f t="shared" si="190"/>
        <v/>
      </c>
      <c r="BH30" s="78" t="str">
        <f t="shared" si="190"/>
        <v/>
      </c>
      <c r="BI30" s="78" t="str">
        <f t="shared" si="190"/>
        <v/>
      </c>
      <c r="BJ30" s="79" t="str">
        <f t="shared" si="190"/>
        <v/>
      </c>
      <c r="BK30" s="77" t="str">
        <f t="shared" si="190"/>
        <v/>
      </c>
      <c r="BL30" s="78" t="str">
        <f t="shared" si="191"/>
        <v/>
      </c>
      <c r="BM30" s="78" t="str">
        <f t="shared" si="191"/>
        <v/>
      </c>
      <c r="BN30" s="78" t="str">
        <f t="shared" si="191"/>
        <v/>
      </c>
      <c r="BO30" s="78" t="str">
        <f t="shared" si="191"/>
        <v/>
      </c>
      <c r="BP30" s="78" t="str">
        <f t="shared" si="191"/>
        <v/>
      </c>
      <c r="BQ30" s="79" t="str">
        <f t="shared" si="191"/>
        <v/>
      </c>
      <c r="BR30" s="93" t="str">
        <f t="shared" si="191"/>
        <v/>
      </c>
      <c r="BS30" s="93" t="str">
        <f t="shared" si="191"/>
        <v/>
      </c>
      <c r="BT30" s="93" t="str">
        <f t="shared" si="191"/>
        <v/>
      </c>
      <c r="BU30" s="93" t="str">
        <f t="shared" si="191"/>
        <v/>
      </c>
      <c r="BV30" s="93" t="str">
        <f t="shared" si="192"/>
        <v/>
      </c>
      <c r="BW30" s="93" t="str">
        <f t="shared" si="192"/>
        <v/>
      </c>
      <c r="BX30" s="93" t="str">
        <f t="shared" si="192"/>
        <v/>
      </c>
      <c r="BY30" s="93" t="e">
        <f t="shared" si="192"/>
        <v>#REF!</v>
      </c>
      <c r="BZ30" s="93" t="e">
        <f t="shared" si="192"/>
        <v>#REF!</v>
      </c>
      <c r="CA30" s="93" t="e">
        <f t="shared" si="192"/>
        <v>#REF!</v>
      </c>
      <c r="CB30" s="93" t="e">
        <f t="shared" si="192"/>
        <v>#REF!</v>
      </c>
      <c r="CC30" s="93" t="e">
        <f t="shared" si="192"/>
        <v>#REF!</v>
      </c>
      <c r="CD30" s="102" t="e">
        <f t="shared" si="192"/>
        <v>#REF!</v>
      </c>
      <c r="CE30" s="93" t="e">
        <f t="shared" si="192"/>
        <v>#REF!</v>
      </c>
      <c r="CF30" s="93" t="e">
        <f t="shared" si="193"/>
        <v>#REF!</v>
      </c>
      <c r="CG30" s="93" t="e">
        <f t="shared" si="193"/>
        <v>#REF!</v>
      </c>
      <c r="CH30" s="104" t="e">
        <f t="shared" si="193"/>
        <v>#REF!</v>
      </c>
      <c r="CI30" s="102" t="e">
        <f t="shared" si="193"/>
        <v>#REF!</v>
      </c>
      <c r="CJ30" s="93" t="e">
        <f t="shared" si="193"/>
        <v>#REF!</v>
      </c>
      <c r="CK30" s="93" t="e">
        <f t="shared" si="193"/>
        <v>#REF!</v>
      </c>
      <c r="CL30" s="93" t="e">
        <f t="shared" si="193"/>
        <v>#REF!</v>
      </c>
      <c r="CM30" s="104" t="e">
        <f t="shared" si="193"/>
        <v>#REF!</v>
      </c>
      <c r="CN30" s="102" t="e">
        <f t="shared" si="193"/>
        <v>#REF!</v>
      </c>
      <c r="CO30" s="93" t="e">
        <f t="shared" si="193"/>
        <v>#REF!</v>
      </c>
      <c r="CP30" s="93" t="e">
        <f t="shared" si="194"/>
        <v>#REF!</v>
      </c>
      <c r="CQ30" s="93" t="e">
        <f t="shared" si="194"/>
        <v>#REF!</v>
      </c>
      <c r="CR30" s="104" t="e">
        <f t="shared" si="194"/>
        <v>#REF!</v>
      </c>
      <c r="CS30" s="102" t="e">
        <f t="shared" si="194"/>
        <v>#REF!</v>
      </c>
      <c r="CT30" s="93" t="e">
        <f t="shared" si="194"/>
        <v>#REF!</v>
      </c>
      <c r="CU30" s="93" t="e">
        <f t="shared" si="194"/>
        <v>#REF!</v>
      </c>
      <c r="CV30" s="93" t="e">
        <f t="shared" si="194"/>
        <v>#REF!</v>
      </c>
      <c r="CW30" s="104" t="e">
        <f t="shared" si="194"/>
        <v>#REF!</v>
      </c>
      <c r="CX30" s="102" t="e">
        <f t="shared" si="194"/>
        <v>#REF!</v>
      </c>
      <c r="CY30" s="93" t="e">
        <f t="shared" si="194"/>
        <v>#REF!</v>
      </c>
      <c r="CZ30" s="93" t="e">
        <f t="shared" si="195"/>
        <v>#REF!</v>
      </c>
      <c r="DA30" s="93" t="e">
        <f t="shared" si="195"/>
        <v>#REF!</v>
      </c>
      <c r="DB30" s="104" t="e">
        <f t="shared" si="195"/>
        <v>#REF!</v>
      </c>
      <c r="DC30" s="102" t="e">
        <f t="shared" si="195"/>
        <v>#REF!</v>
      </c>
      <c r="DD30" s="93" t="e">
        <f t="shared" si="195"/>
        <v>#REF!</v>
      </c>
      <c r="DE30" s="93" t="e">
        <f t="shared" si="195"/>
        <v>#REF!</v>
      </c>
      <c r="DF30" s="93" t="e">
        <f t="shared" si="195"/>
        <v>#REF!</v>
      </c>
      <c r="DG30" s="104" t="e">
        <f t="shared" si="195"/>
        <v>#REF!</v>
      </c>
      <c r="DH30" s="107"/>
      <c r="DI30" s="106"/>
    </row>
    <row r="31" spans="1:113" s="29" customFormat="1" ht="26" x14ac:dyDescent="0.25">
      <c r="A31" s="37" t="str">
        <f t="shared" si="177"/>
        <v>1.21</v>
      </c>
      <c r="B31" s="122">
        <v>202511035</v>
      </c>
      <c r="C31" s="109" t="str">
        <f>IF(C$7=-1,"",INDEX(INDEX('Project List'!$1:$1048576,0,C$7),MATCH($B31,'Project List'!$A:$A,0)))</f>
        <v>圣安达公寓</v>
      </c>
      <c r="D31" s="109" t="str">
        <f>IF(D$7=-1,"",INDEX(INDEX('Project List'!$1:$1048576,0,D$7),MATCH($B31,'Project List'!$A:$A,0)))</f>
        <v>勘探</v>
      </c>
      <c r="E31" s="109" t="str">
        <f>IF(E$7=-1,"",INDEX(INDEX('Project List'!$1:$1048576,0,E$7),MATCH($B31,'Project List'!$A:$A,0)))</f>
        <v>地铁运营线路14号线铜川路站至真光路站区间</v>
      </c>
      <c r="F31" s="46">
        <f>IF(F$7=-1,"",INDEX(INDEX('Project List'!$1:$1048576,0,F$7),MATCH($B31,'Project List'!$A:$A,0)))</f>
        <v>45975</v>
      </c>
      <c r="G31" s="46">
        <f t="shared" ref="G31" si="196">F31+7</f>
        <v>45982</v>
      </c>
      <c r="H31" s="49">
        <f t="shared" ref="H31" si="197">IF(OR(K31="销项",K31="已上传",K31="退回"),1,IF(K31="待上传",0.7,IF(K31="已发校审未返",0.3,IF(OR(K31="需沟通",K31="退回"),0,-1))))</f>
        <v>1</v>
      </c>
      <c r="I31" s="47" t="s">
        <v>6</v>
      </c>
      <c r="J31" s="47" t="s">
        <v>144</v>
      </c>
      <c r="K31" s="47" t="s">
        <v>138</v>
      </c>
      <c r="L31" s="115"/>
      <c r="M31" s="48"/>
      <c r="N31" s="77" t="str">
        <f t="shared" si="186"/>
        <v/>
      </c>
      <c r="O31" s="78" t="str">
        <f t="shared" si="186"/>
        <v/>
      </c>
      <c r="P31" s="78" t="str">
        <f t="shared" si="186"/>
        <v/>
      </c>
      <c r="Q31" s="78" t="str">
        <f t="shared" si="186"/>
        <v/>
      </c>
      <c r="R31" s="78" t="str">
        <f t="shared" si="186"/>
        <v/>
      </c>
      <c r="S31" s="78" t="str">
        <f t="shared" si="186"/>
        <v/>
      </c>
      <c r="T31" s="79" t="str">
        <f t="shared" si="186"/>
        <v/>
      </c>
      <c r="U31" s="77" t="str">
        <f t="shared" si="186"/>
        <v/>
      </c>
      <c r="V31" s="78" t="str">
        <f t="shared" si="186"/>
        <v/>
      </c>
      <c r="W31" s="78" t="str">
        <f t="shared" si="186"/>
        <v/>
      </c>
      <c r="X31" s="78" t="str">
        <f t="shared" si="187"/>
        <v/>
      </c>
      <c r="Y31" s="78" t="str">
        <f t="shared" si="187"/>
        <v/>
      </c>
      <c r="Z31" s="78" t="str">
        <f t="shared" si="187"/>
        <v/>
      </c>
      <c r="AA31" s="79" t="str">
        <f t="shared" si="187"/>
        <v/>
      </c>
      <c r="AB31" s="77" t="str">
        <f t="shared" si="187"/>
        <v/>
      </c>
      <c r="AC31" s="78" t="str">
        <f t="shared" si="187"/>
        <v/>
      </c>
      <c r="AD31" s="78" t="str">
        <f t="shared" si="187"/>
        <v/>
      </c>
      <c r="AE31" s="78" t="str">
        <f t="shared" si="187"/>
        <v/>
      </c>
      <c r="AF31" s="78" t="str">
        <f t="shared" si="187"/>
        <v/>
      </c>
      <c r="AG31" s="78" t="str">
        <f t="shared" si="187"/>
        <v/>
      </c>
      <c r="AH31" s="79" t="str">
        <f t="shared" si="188"/>
        <v/>
      </c>
      <c r="AI31" s="77" t="str">
        <f t="shared" si="188"/>
        <v/>
      </c>
      <c r="AJ31" s="78" t="str">
        <f t="shared" si="188"/>
        <v/>
      </c>
      <c r="AK31" s="78" t="str">
        <f t="shared" si="188"/>
        <v/>
      </c>
      <c r="AL31" s="78" t="str">
        <f t="shared" si="188"/>
        <v/>
      </c>
      <c r="AM31" s="78" t="str">
        <f t="shared" si="188"/>
        <v/>
      </c>
      <c r="AN31" s="78" t="str">
        <f t="shared" si="188"/>
        <v/>
      </c>
      <c r="AO31" s="79" t="str">
        <f t="shared" si="188"/>
        <v/>
      </c>
      <c r="AP31" s="77" t="str">
        <f t="shared" si="188"/>
        <v/>
      </c>
      <c r="AQ31" s="78" t="str">
        <f t="shared" si="188"/>
        <v/>
      </c>
      <c r="AR31" s="78" t="str">
        <f t="shared" si="189"/>
        <v/>
      </c>
      <c r="AS31" s="78" t="str">
        <f t="shared" si="189"/>
        <v/>
      </c>
      <c r="AT31" s="78" t="str">
        <f t="shared" si="189"/>
        <v/>
      </c>
      <c r="AU31" s="78" t="str">
        <f t="shared" si="189"/>
        <v/>
      </c>
      <c r="AV31" s="79" t="str">
        <f t="shared" si="189"/>
        <v/>
      </c>
      <c r="AW31" s="77" t="str">
        <f t="shared" si="189"/>
        <v/>
      </c>
      <c r="AX31" s="78" t="str">
        <f t="shared" si="189"/>
        <v/>
      </c>
      <c r="AY31" s="78" t="str">
        <f t="shared" si="189"/>
        <v/>
      </c>
      <c r="AZ31" s="78" t="str">
        <f t="shared" si="189"/>
        <v/>
      </c>
      <c r="BA31" s="78" t="str">
        <f t="shared" si="189"/>
        <v/>
      </c>
      <c r="BB31" s="78" t="str">
        <f t="shared" si="190"/>
        <v/>
      </c>
      <c r="BC31" s="79" t="str">
        <f t="shared" si="190"/>
        <v/>
      </c>
      <c r="BD31" s="77" t="str">
        <f t="shared" si="190"/>
        <v/>
      </c>
      <c r="BE31" s="78" t="str">
        <f t="shared" si="190"/>
        <v/>
      </c>
      <c r="BF31" s="78" t="str">
        <f t="shared" si="190"/>
        <v/>
      </c>
      <c r="BG31" s="78" t="str">
        <f t="shared" si="190"/>
        <v/>
      </c>
      <c r="BH31" s="78" t="str">
        <f t="shared" si="190"/>
        <v/>
      </c>
      <c r="BI31" s="78" t="str">
        <f t="shared" si="190"/>
        <v/>
      </c>
      <c r="BJ31" s="79" t="str">
        <f t="shared" si="190"/>
        <v/>
      </c>
      <c r="BK31" s="77" t="str">
        <f t="shared" si="190"/>
        <v/>
      </c>
      <c r="BL31" s="78" t="str">
        <f t="shared" si="191"/>
        <v/>
      </c>
      <c r="BM31" s="78" t="str">
        <f t="shared" si="191"/>
        <v/>
      </c>
      <c r="BN31" s="78" t="str">
        <f t="shared" si="191"/>
        <v/>
      </c>
      <c r="BO31" s="78" t="str">
        <f t="shared" si="191"/>
        <v/>
      </c>
      <c r="BP31" s="78" t="str">
        <f t="shared" si="191"/>
        <v/>
      </c>
      <c r="BQ31" s="79" t="str">
        <f t="shared" si="191"/>
        <v/>
      </c>
      <c r="BR31" s="93" t="str">
        <f t="shared" si="191"/>
        <v/>
      </c>
      <c r="BS31" s="93" t="str">
        <f t="shared" si="191"/>
        <v/>
      </c>
      <c r="BT31" s="93" t="str">
        <f t="shared" si="191"/>
        <v/>
      </c>
      <c r="BU31" s="93" t="str">
        <f t="shared" si="191"/>
        <v/>
      </c>
      <c r="BV31" s="93" t="str">
        <f t="shared" si="192"/>
        <v/>
      </c>
      <c r="BW31" s="93" t="str">
        <f t="shared" si="192"/>
        <v/>
      </c>
      <c r="BX31" s="93" t="str">
        <f t="shared" si="192"/>
        <v/>
      </c>
      <c r="BY31" s="93" t="e">
        <f t="shared" si="192"/>
        <v>#REF!</v>
      </c>
      <c r="BZ31" s="93" t="e">
        <f t="shared" si="192"/>
        <v>#REF!</v>
      </c>
      <c r="CA31" s="93" t="e">
        <f t="shared" si="192"/>
        <v>#REF!</v>
      </c>
      <c r="CB31" s="93" t="e">
        <f t="shared" si="192"/>
        <v>#REF!</v>
      </c>
      <c r="CC31" s="93" t="e">
        <f t="shared" si="192"/>
        <v>#REF!</v>
      </c>
      <c r="CD31" s="102" t="e">
        <f t="shared" si="192"/>
        <v>#REF!</v>
      </c>
      <c r="CE31" s="93" t="e">
        <f t="shared" si="192"/>
        <v>#REF!</v>
      </c>
      <c r="CF31" s="93" t="e">
        <f t="shared" si="193"/>
        <v>#REF!</v>
      </c>
      <c r="CG31" s="93" t="e">
        <f t="shared" si="193"/>
        <v>#REF!</v>
      </c>
      <c r="CH31" s="104" t="e">
        <f t="shared" si="193"/>
        <v>#REF!</v>
      </c>
      <c r="CI31" s="102" t="e">
        <f t="shared" si="193"/>
        <v>#REF!</v>
      </c>
      <c r="CJ31" s="93" t="e">
        <f t="shared" si="193"/>
        <v>#REF!</v>
      </c>
      <c r="CK31" s="93" t="e">
        <f t="shared" si="193"/>
        <v>#REF!</v>
      </c>
      <c r="CL31" s="93" t="e">
        <f t="shared" si="193"/>
        <v>#REF!</v>
      </c>
      <c r="CM31" s="104" t="e">
        <f t="shared" si="193"/>
        <v>#REF!</v>
      </c>
      <c r="CN31" s="102" t="e">
        <f t="shared" si="193"/>
        <v>#REF!</v>
      </c>
      <c r="CO31" s="93" t="e">
        <f t="shared" si="193"/>
        <v>#REF!</v>
      </c>
      <c r="CP31" s="93" t="e">
        <f t="shared" si="194"/>
        <v>#REF!</v>
      </c>
      <c r="CQ31" s="93" t="e">
        <f t="shared" si="194"/>
        <v>#REF!</v>
      </c>
      <c r="CR31" s="104" t="e">
        <f t="shared" si="194"/>
        <v>#REF!</v>
      </c>
      <c r="CS31" s="102" t="e">
        <f t="shared" si="194"/>
        <v>#REF!</v>
      </c>
      <c r="CT31" s="93" t="e">
        <f t="shared" si="194"/>
        <v>#REF!</v>
      </c>
      <c r="CU31" s="93" t="e">
        <f t="shared" si="194"/>
        <v>#REF!</v>
      </c>
      <c r="CV31" s="93" t="e">
        <f t="shared" si="194"/>
        <v>#REF!</v>
      </c>
      <c r="CW31" s="104" t="e">
        <f t="shared" si="194"/>
        <v>#REF!</v>
      </c>
      <c r="CX31" s="102" t="e">
        <f t="shared" si="194"/>
        <v>#REF!</v>
      </c>
      <c r="CY31" s="93" t="e">
        <f t="shared" si="194"/>
        <v>#REF!</v>
      </c>
      <c r="CZ31" s="93" t="e">
        <f t="shared" si="195"/>
        <v>#REF!</v>
      </c>
      <c r="DA31" s="93" t="e">
        <f t="shared" si="195"/>
        <v>#REF!</v>
      </c>
      <c r="DB31" s="104" t="e">
        <f t="shared" si="195"/>
        <v>#REF!</v>
      </c>
      <c r="DC31" s="102" t="e">
        <f t="shared" si="195"/>
        <v>#REF!</v>
      </c>
      <c r="DD31" s="93" t="e">
        <f t="shared" si="195"/>
        <v>#REF!</v>
      </c>
      <c r="DE31" s="93" t="e">
        <f t="shared" si="195"/>
        <v>#REF!</v>
      </c>
      <c r="DF31" s="93" t="e">
        <f t="shared" si="195"/>
        <v>#REF!</v>
      </c>
      <c r="DG31" s="104" t="e">
        <f t="shared" si="195"/>
        <v>#REF!</v>
      </c>
      <c r="DH31" s="107"/>
      <c r="DI31" s="106"/>
    </row>
    <row r="32" spans="1:113" s="29" customFormat="1" ht="26" x14ac:dyDescent="0.25">
      <c r="A32" s="37" t="str">
        <f t="shared" si="177"/>
        <v>1.22</v>
      </c>
      <c r="B32">
        <v>202507054</v>
      </c>
      <c r="C32" s="109" t="str">
        <f>IF(C$7=-1,"",INDEX(INDEX('Project List'!$1:$1048576,0,C$7),MATCH($B32,'Project List'!$A:$A,0)))</f>
        <v>世博水环品质提升工程（一期）D段</v>
      </c>
      <c r="D32" s="109" t="str">
        <f>IF(D$7=-1,"",INDEX(INDEX('Project List'!$1:$1048576,0,D$7),MATCH($B32,'Project List'!$A:$A,0)))</f>
        <v>绿化</v>
      </c>
      <c r="E32" s="109" t="str">
        <f>IF(E$7=-1,"",INDEX(INDEX('Project List'!$1:$1048576,0,E$7),MATCH($B32,'Project List'!$A:$A,0)))</f>
        <v>地铁运营线路11号线三林站至三林东站区间</v>
      </c>
      <c r="F32" s="46">
        <f>IF(F$7=-1,"",INDEX(INDEX('Project List'!$1:$1048576,0,F$7),MATCH($B32,'Project List'!$A:$A,0)))</f>
        <v>45975</v>
      </c>
      <c r="G32" s="46">
        <f t="shared" ref="G32:G42" si="198">F32+7</f>
        <v>45982</v>
      </c>
      <c r="H32" s="49">
        <f t="shared" ref="H32:H42" si="199">IF(OR(K32="销项",K32="已上传",K32="退回"),1,IF(K32="待上传",0.7,IF(K32="已发校审未返",0.3,IF(OR(K32="需沟通",K32="退回"),0,-1))))</f>
        <v>1</v>
      </c>
      <c r="I32" s="47" t="s">
        <v>6</v>
      </c>
      <c r="J32" s="47" t="s">
        <v>41</v>
      </c>
      <c r="K32" s="47" t="s">
        <v>41</v>
      </c>
      <c r="L32" s="115" t="s">
        <v>220</v>
      </c>
      <c r="M32" s="48"/>
      <c r="N32" s="77" t="str">
        <f t="shared" si="186"/>
        <v/>
      </c>
      <c r="O32" s="78" t="str">
        <f t="shared" si="186"/>
        <v/>
      </c>
      <c r="P32" s="78" t="str">
        <f t="shared" si="186"/>
        <v/>
      </c>
      <c r="Q32" s="78" t="str">
        <f t="shared" si="186"/>
        <v/>
      </c>
      <c r="R32" s="78" t="str">
        <f t="shared" si="186"/>
        <v/>
      </c>
      <c r="S32" s="78" t="str">
        <f t="shared" si="186"/>
        <v/>
      </c>
      <c r="T32" s="79" t="str">
        <f t="shared" si="186"/>
        <v/>
      </c>
      <c r="U32" s="77" t="str">
        <f t="shared" si="186"/>
        <v/>
      </c>
      <c r="V32" s="78" t="str">
        <f t="shared" si="186"/>
        <v/>
      </c>
      <c r="W32" s="78" t="str">
        <f t="shared" si="186"/>
        <v/>
      </c>
      <c r="X32" s="78" t="str">
        <f t="shared" si="187"/>
        <v/>
      </c>
      <c r="Y32" s="78" t="str">
        <f t="shared" si="187"/>
        <v/>
      </c>
      <c r="Z32" s="78" t="str">
        <f t="shared" si="187"/>
        <v/>
      </c>
      <c r="AA32" s="79" t="str">
        <f t="shared" si="187"/>
        <v/>
      </c>
      <c r="AB32" s="77" t="str">
        <f t="shared" si="187"/>
        <v/>
      </c>
      <c r="AC32" s="78" t="str">
        <f t="shared" si="187"/>
        <v/>
      </c>
      <c r="AD32" s="78" t="str">
        <f t="shared" si="187"/>
        <v/>
      </c>
      <c r="AE32" s="78" t="str">
        <f t="shared" si="187"/>
        <v/>
      </c>
      <c r="AF32" s="78" t="str">
        <f t="shared" si="187"/>
        <v/>
      </c>
      <c r="AG32" s="78" t="str">
        <f t="shared" si="187"/>
        <v/>
      </c>
      <c r="AH32" s="79" t="str">
        <f t="shared" si="188"/>
        <v/>
      </c>
      <c r="AI32" s="77" t="str">
        <f t="shared" si="188"/>
        <v/>
      </c>
      <c r="AJ32" s="78" t="str">
        <f t="shared" si="188"/>
        <v/>
      </c>
      <c r="AK32" s="78" t="str">
        <f t="shared" si="188"/>
        <v/>
      </c>
      <c r="AL32" s="78" t="str">
        <f t="shared" si="188"/>
        <v/>
      </c>
      <c r="AM32" s="78" t="str">
        <f t="shared" si="188"/>
        <v/>
      </c>
      <c r="AN32" s="78" t="str">
        <f t="shared" si="188"/>
        <v/>
      </c>
      <c r="AO32" s="79" t="str">
        <f t="shared" si="188"/>
        <v/>
      </c>
      <c r="AP32" s="77" t="str">
        <f t="shared" si="188"/>
        <v/>
      </c>
      <c r="AQ32" s="78" t="str">
        <f t="shared" si="188"/>
        <v/>
      </c>
      <c r="AR32" s="78" t="str">
        <f t="shared" si="189"/>
        <v/>
      </c>
      <c r="AS32" s="78" t="str">
        <f t="shared" si="189"/>
        <v/>
      </c>
      <c r="AT32" s="78" t="str">
        <f t="shared" si="189"/>
        <v/>
      </c>
      <c r="AU32" s="78" t="str">
        <f t="shared" si="189"/>
        <v/>
      </c>
      <c r="AV32" s="79" t="str">
        <f t="shared" si="189"/>
        <v/>
      </c>
      <c r="AW32" s="77" t="str">
        <f t="shared" si="189"/>
        <v/>
      </c>
      <c r="AX32" s="78" t="str">
        <f t="shared" si="189"/>
        <v/>
      </c>
      <c r="AY32" s="78" t="str">
        <f t="shared" si="189"/>
        <v/>
      </c>
      <c r="AZ32" s="78" t="str">
        <f t="shared" si="189"/>
        <v/>
      </c>
      <c r="BA32" s="78" t="str">
        <f t="shared" si="189"/>
        <v/>
      </c>
      <c r="BB32" s="78" t="str">
        <f t="shared" si="190"/>
        <v/>
      </c>
      <c r="BC32" s="79" t="str">
        <f t="shared" si="190"/>
        <v/>
      </c>
      <c r="BD32" s="77" t="str">
        <f t="shared" si="190"/>
        <v/>
      </c>
      <c r="BE32" s="78" t="str">
        <f t="shared" si="190"/>
        <v/>
      </c>
      <c r="BF32" s="78" t="str">
        <f t="shared" si="190"/>
        <v/>
      </c>
      <c r="BG32" s="78" t="str">
        <f t="shared" si="190"/>
        <v/>
      </c>
      <c r="BH32" s="78" t="str">
        <f t="shared" si="190"/>
        <v/>
      </c>
      <c r="BI32" s="78" t="str">
        <f t="shared" si="190"/>
        <v/>
      </c>
      <c r="BJ32" s="79" t="str">
        <f t="shared" si="190"/>
        <v/>
      </c>
      <c r="BK32" s="77" t="str">
        <f t="shared" si="190"/>
        <v/>
      </c>
      <c r="BL32" s="78" t="str">
        <f t="shared" si="191"/>
        <v/>
      </c>
      <c r="BM32" s="78" t="str">
        <f t="shared" si="191"/>
        <v/>
      </c>
      <c r="BN32" s="78" t="str">
        <f t="shared" si="191"/>
        <v/>
      </c>
      <c r="BO32" s="78" t="str">
        <f t="shared" si="191"/>
        <v/>
      </c>
      <c r="BP32" s="78" t="str">
        <f t="shared" si="191"/>
        <v/>
      </c>
      <c r="BQ32" s="79" t="str">
        <f t="shared" si="191"/>
        <v/>
      </c>
      <c r="BR32" s="93" t="str">
        <f t="shared" si="191"/>
        <v/>
      </c>
      <c r="BS32" s="93" t="str">
        <f t="shared" si="191"/>
        <v/>
      </c>
      <c r="BT32" s="93" t="str">
        <f t="shared" si="191"/>
        <v/>
      </c>
      <c r="BU32" s="93" t="str">
        <f t="shared" si="191"/>
        <v/>
      </c>
      <c r="BV32" s="93" t="str">
        <f t="shared" si="192"/>
        <v/>
      </c>
      <c r="BW32" s="93" t="str">
        <f t="shared" si="192"/>
        <v/>
      </c>
      <c r="BX32" s="93" t="str">
        <f t="shared" si="192"/>
        <v/>
      </c>
      <c r="BY32" s="93" t="e">
        <f t="shared" si="192"/>
        <v>#REF!</v>
      </c>
      <c r="BZ32" s="93" t="e">
        <f t="shared" si="192"/>
        <v>#REF!</v>
      </c>
      <c r="CA32" s="93" t="e">
        <f t="shared" si="192"/>
        <v>#REF!</v>
      </c>
      <c r="CB32" s="93" t="e">
        <f t="shared" si="192"/>
        <v>#REF!</v>
      </c>
      <c r="CC32" s="93" t="e">
        <f t="shared" si="192"/>
        <v>#REF!</v>
      </c>
      <c r="CD32" s="102" t="e">
        <f t="shared" si="192"/>
        <v>#REF!</v>
      </c>
      <c r="CE32" s="93" t="e">
        <f t="shared" si="192"/>
        <v>#REF!</v>
      </c>
      <c r="CF32" s="93" t="e">
        <f t="shared" si="193"/>
        <v>#REF!</v>
      </c>
      <c r="CG32" s="93" t="e">
        <f t="shared" si="193"/>
        <v>#REF!</v>
      </c>
      <c r="CH32" s="104" t="e">
        <f t="shared" si="193"/>
        <v>#REF!</v>
      </c>
      <c r="CI32" s="102" t="e">
        <f t="shared" si="193"/>
        <v>#REF!</v>
      </c>
      <c r="CJ32" s="93" t="e">
        <f t="shared" si="193"/>
        <v>#REF!</v>
      </c>
      <c r="CK32" s="93" t="e">
        <f t="shared" si="193"/>
        <v>#REF!</v>
      </c>
      <c r="CL32" s="93" t="e">
        <f t="shared" si="193"/>
        <v>#REF!</v>
      </c>
      <c r="CM32" s="104" t="e">
        <f t="shared" si="193"/>
        <v>#REF!</v>
      </c>
      <c r="CN32" s="102" t="e">
        <f t="shared" si="193"/>
        <v>#REF!</v>
      </c>
      <c r="CO32" s="93" t="e">
        <f t="shared" si="193"/>
        <v>#REF!</v>
      </c>
      <c r="CP32" s="93" t="e">
        <f t="shared" si="194"/>
        <v>#REF!</v>
      </c>
      <c r="CQ32" s="93" t="e">
        <f t="shared" si="194"/>
        <v>#REF!</v>
      </c>
      <c r="CR32" s="104" t="e">
        <f t="shared" si="194"/>
        <v>#REF!</v>
      </c>
      <c r="CS32" s="102" t="e">
        <f t="shared" si="194"/>
        <v>#REF!</v>
      </c>
      <c r="CT32" s="93" t="e">
        <f t="shared" si="194"/>
        <v>#REF!</v>
      </c>
      <c r="CU32" s="93" t="e">
        <f t="shared" si="194"/>
        <v>#REF!</v>
      </c>
      <c r="CV32" s="93" t="e">
        <f t="shared" si="194"/>
        <v>#REF!</v>
      </c>
      <c r="CW32" s="104" t="e">
        <f t="shared" si="194"/>
        <v>#REF!</v>
      </c>
      <c r="CX32" s="102" t="e">
        <f t="shared" si="194"/>
        <v>#REF!</v>
      </c>
      <c r="CY32" s="93" t="e">
        <f t="shared" si="194"/>
        <v>#REF!</v>
      </c>
      <c r="CZ32" s="93" t="e">
        <f t="shared" si="195"/>
        <v>#REF!</v>
      </c>
      <c r="DA32" s="93" t="e">
        <f t="shared" si="195"/>
        <v>#REF!</v>
      </c>
      <c r="DB32" s="104" t="e">
        <f t="shared" si="195"/>
        <v>#REF!</v>
      </c>
      <c r="DC32" s="102" t="e">
        <f t="shared" si="195"/>
        <v>#REF!</v>
      </c>
      <c r="DD32" s="93" t="e">
        <f t="shared" si="195"/>
        <v>#REF!</v>
      </c>
      <c r="DE32" s="93" t="e">
        <f t="shared" si="195"/>
        <v>#REF!</v>
      </c>
      <c r="DF32" s="93" t="e">
        <f t="shared" si="195"/>
        <v>#REF!</v>
      </c>
      <c r="DG32" s="104" t="e">
        <f t="shared" si="195"/>
        <v>#REF!</v>
      </c>
      <c r="DH32" s="107"/>
      <c r="DI32" s="106"/>
    </row>
    <row r="33" spans="1:113" s="29" customFormat="1" ht="17.5" x14ac:dyDescent="0.25">
      <c r="A33" s="37" t="str">
        <f t="shared" si="177"/>
        <v>1.23</v>
      </c>
      <c r="B33">
        <v>202510065</v>
      </c>
      <c r="C33" s="109" t="str">
        <f>IF(C$7=-1,"",INDEX(INDEX('Project List'!$1:$1048576,0,C$7),MATCH($B33,'Project List'!$A:$A,0)))</f>
        <v>广纪路65弄燃气管道改造</v>
      </c>
      <c r="D33" s="109" t="str">
        <f>IF(D$7=-1,"",INDEX(INDEX('Project List'!$1:$1048576,0,D$7),MATCH($B33,'Project List'!$A:$A,0)))</f>
        <v>管线</v>
      </c>
      <c r="E33" s="109" t="str">
        <f>IF(E$7=-1,"",INDEX(INDEX('Project List'!$1:$1048576,0,E$7),MATCH($B33,'Project List'!$A:$A,0)))</f>
        <v>地铁运营线路3号线赤峰路车站</v>
      </c>
      <c r="F33" s="46">
        <f>IF(F$7=-1,"",INDEX(INDEX('Project List'!$1:$1048576,0,F$7),MATCH($B33,'Project List'!$A:$A,0)))</f>
        <v>45979</v>
      </c>
      <c r="G33" s="46">
        <f t="shared" ref="G33:G35" si="200">F33+7</f>
        <v>45986</v>
      </c>
      <c r="H33" s="49">
        <f t="shared" ref="H33:H35" si="201">IF(OR(K33="销项",K33="已上传",K33="退回"),1,IF(K33="待上传",0.7,IF(K33="已发校审未返",0.3,IF(OR(K33="需沟通",K33="退回"),0,-1))))</f>
        <v>1</v>
      </c>
      <c r="I33" s="47" t="s">
        <v>6</v>
      </c>
      <c r="J33" s="47" t="s">
        <v>144</v>
      </c>
      <c r="K33" s="47" t="s">
        <v>138</v>
      </c>
      <c r="L33" s="115"/>
      <c r="M33" s="48"/>
      <c r="N33" s="77" t="str">
        <f t="shared" si="186"/>
        <v/>
      </c>
      <c r="O33" s="78" t="str">
        <f t="shared" si="186"/>
        <v/>
      </c>
      <c r="P33" s="78" t="str">
        <f t="shared" si="186"/>
        <v/>
      </c>
      <c r="Q33" s="78" t="str">
        <f t="shared" si="186"/>
        <v/>
      </c>
      <c r="R33" s="78" t="str">
        <f t="shared" si="186"/>
        <v/>
      </c>
      <c r="S33" s="78" t="str">
        <f t="shared" si="186"/>
        <v/>
      </c>
      <c r="T33" s="79" t="str">
        <f t="shared" si="186"/>
        <v/>
      </c>
      <c r="U33" s="77" t="str">
        <f t="shared" si="186"/>
        <v/>
      </c>
      <c r="V33" s="78" t="str">
        <f t="shared" si="186"/>
        <v/>
      </c>
      <c r="W33" s="78" t="str">
        <f t="shared" si="186"/>
        <v/>
      </c>
      <c r="X33" s="78" t="str">
        <f t="shared" si="187"/>
        <v/>
      </c>
      <c r="Y33" s="78" t="str">
        <f t="shared" si="187"/>
        <v/>
      </c>
      <c r="Z33" s="78" t="str">
        <f t="shared" si="187"/>
        <v/>
      </c>
      <c r="AA33" s="79" t="str">
        <f t="shared" si="187"/>
        <v/>
      </c>
      <c r="AB33" s="77" t="str">
        <f t="shared" si="187"/>
        <v/>
      </c>
      <c r="AC33" s="78" t="str">
        <f t="shared" si="187"/>
        <v/>
      </c>
      <c r="AD33" s="78" t="str">
        <f t="shared" si="187"/>
        <v/>
      </c>
      <c r="AE33" s="78" t="str">
        <f t="shared" si="187"/>
        <v/>
      </c>
      <c r="AF33" s="78" t="str">
        <f t="shared" si="187"/>
        <v/>
      </c>
      <c r="AG33" s="78" t="str">
        <f t="shared" si="187"/>
        <v/>
      </c>
      <c r="AH33" s="79" t="str">
        <f t="shared" si="188"/>
        <v/>
      </c>
      <c r="AI33" s="77" t="str">
        <f t="shared" si="188"/>
        <v/>
      </c>
      <c r="AJ33" s="78" t="str">
        <f t="shared" si="188"/>
        <v/>
      </c>
      <c r="AK33" s="78" t="str">
        <f t="shared" si="188"/>
        <v/>
      </c>
      <c r="AL33" s="78" t="str">
        <f t="shared" si="188"/>
        <v/>
      </c>
      <c r="AM33" s="78" t="str">
        <f t="shared" si="188"/>
        <v/>
      </c>
      <c r="AN33" s="78" t="str">
        <f t="shared" si="188"/>
        <v/>
      </c>
      <c r="AO33" s="79" t="str">
        <f t="shared" si="188"/>
        <v/>
      </c>
      <c r="AP33" s="77" t="str">
        <f t="shared" si="188"/>
        <v/>
      </c>
      <c r="AQ33" s="78" t="str">
        <f t="shared" si="188"/>
        <v/>
      </c>
      <c r="AR33" s="78" t="str">
        <f t="shared" si="189"/>
        <v/>
      </c>
      <c r="AS33" s="78" t="str">
        <f t="shared" si="189"/>
        <v/>
      </c>
      <c r="AT33" s="78" t="str">
        <f t="shared" si="189"/>
        <v/>
      </c>
      <c r="AU33" s="78" t="str">
        <f t="shared" si="189"/>
        <v/>
      </c>
      <c r="AV33" s="79" t="str">
        <f t="shared" si="189"/>
        <v/>
      </c>
      <c r="AW33" s="77" t="str">
        <f t="shared" si="189"/>
        <v/>
      </c>
      <c r="AX33" s="78" t="str">
        <f t="shared" si="189"/>
        <v/>
      </c>
      <c r="AY33" s="78" t="str">
        <f t="shared" si="189"/>
        <v/>
      </c>
      <c r="AZ33" s="78" t="str">
        <f t="shared" si="189"/>
        <v/>
      </c>
      <c r="BA33" s="78" t="str">
        <f t="shared" si="189"/>
        <v/>
      </c>
      <c r="BB33" s="78" t="str">
        <f t="shared" si="190"/>
        <v/>
      </c>
      <c r="BC33" s="79" t="str">
        <f t="shared" si="190"/>
        <v/>
      </c>
      <c r="BD33" s="77" t="str">
        <f t="shared" si="190"/>
        <v/>
      </c>
      <c r="BE33" s="78" t="str">
        <f t="shared" si="190"/>
        <v/>
      </c>
      <c r="BF33" s="78" t="str">
        <f t="shared" si="190"/>
        <v/>
      </c>
      <c r="BG33" s="78" t="str">
        <f t="shared" si="190"/>
        <v/>
      </c>
      <c r="BH33" s="78" t="str">
        <f t="shared" si="190"/>
        <v/>
      </c>
      <c r="BI33" s="78" t="str">
        <f t="shared" si="190"/>
        <v/>
      </c>
      <c r="BJ33" s="79" t="str">
        <f t="shared" si="190"/>
        <v/>
      </c>
      <c r="BK33" s="77" t="str">
        <f t="shared" si="190"/>
        <v/>
      </c>
      <c r="BL33" s="78" t="str">
        <f t="shared" si="191"/>
        <v/>
      </c>
      <c r="BM33" s="78" t="str">
        <f t="shared" si="191"/>
        <v/>
      </c>
      <c r="BN33" s="78" t="str">
        <f t="shared" si="191"/>
        <v/>
      </c>
      <c r="BO33" s="78" t="str">
        <f t="shared" si="191"/>
        <v/>
      </c>
      <c r="BP33" s="78" t="str">
        <f t="shared" si="191"/>
        <v/>
      </c>
      <c r="BQ33" s="79" t="str">
        <f t="shared" si="191"/>
        <v/>
      </c>
      <c r="BR33" s="93" t="str">
        <f t="shared" si="191"/>
        <v/>
      </c>
      <c r="BS33" s="93" t="str">
        <f t="shared" si="191"/>
        <v/>
      </c>
      <c r="BT33" s="93" t="str">
        <f t="shared" si="191"/>
        <v/>
      </c>
      <c r="BU33" s="93" t="str">
        <f t="shared" si="191"/>
        <v/>
      </c>
      <c r="BV33" s="93" t="str">
        <f t="shared" si="192"/>
        <v/>
      </c>
      <c r="BW33" s="93" t="str">
        <f t="shared" si="192"/>
        <v/>
      </c>
      <c r="BX33" s="93" t="str">
        <f t="shared" si="192"/>
        <v/>
      </c>
      <c r="BY33" s="93" t="e">
        <f t="shared" si="192"/>
        <v>#REF!</v>
      </c>
      <c r="BZ33" s="93" t="e">
        <f t="shared" si="192"/>
        <v>#REF!</v>
      </c>
      <c r="CA33" s="93" t="e">
        <f t="shared" si="192"/>
        <v>#REF!</v>
      </c>
      <c r="CB33" s="93" t="e">
        <f t="shared" si="192"/>
        <v>#REF!</v>
      </c>
      <c r="CC33" s="93" t="e">
        <f t="shared" si="192"/>
        <v>#REF!</v>
      </c>
      <c r="CD33" s="102" t="e">
        <f t="shared" si="192"/>
        <v>#REF!</v>
      </c>
      <c r="CE33" s="93" t="e">
        <f t="shared" si="192"/>
        <v>#REF!</v>
      </c>
      <c r="CF33" s="93" t="e">
        <f t="shared" si="193"/>
        <v>#REF!</v>
      </c>
      <c r="CG33" s="93" t="e">
        <f t="shared" si="193"/>
        <v>#REF!</v>
      </c>
      <c r="CH33" s="104" t="e">
        <f t="shared" si="193"/>
        <v>#REF!</v>
      </c>
      <c r="CI33" s="102" t="e">
        <f t="shared" si="193"/>
        <v>#REF!</v>
      </c>
      <c r="CJ33" s="93" t="e">
        <f t="shared" si="193"/>
        <v>#REF!</v>
      </c>
      <c r="CK33" s="93" t="e">
        <f t="shared" si="193"/>
        <v>#REF!</v>
      </c>
      <c r="CL33" s="93" t="e">
        <f t="shared" si="193"/>
        <v>#REF!</v>
      </c>
      <c r="CM33" s="104" t="e">
        <f t="shared" si="193"/>
        <v>#REF!</v>
      </c>
      <c r="CN33" s="102" t="e">
        <f t="shared" si="193"/>
        <v>#REF!</v>
      </c>
      <c r="CO33" s="93" t="e">
        <f t="shared" si="193"/>
        <v>#REF!</v>
      </c>
      <c r="CP33" s="93" t="e">
        <f t="shared" si="194"/>
        <v>#REF!</v>
      </c>
      <c r="CQ33" s="93" t="e">
        <f t="shared" si="194"/>
        <v>#REF!</v>
      </c>
      <c r="CR33" s="104" t="e">
        <f t="shared" si="194"/>
        <v>#REF!</v>
      </c>
      <c r="CS33" s="102" t="e">
        <f t="shared" si="194"/>
        <v>#REF!</v>
      </c>
      <c r="CT33" s="93" t="e">
        <f t="shared" si="194"/>
        <v>#REF!</v>
      </c>
      <c r="CU33" s="93" t="e">
        <f t="shared" si="194"/>
        <v>#REF!</v>
      </c>
      <c r="CV33" s="93" t="e">
        <f t="shared" si="194"/>
        <v>#REF!</v>
      </c>
      <c r="CW33" s="104" t="e">
        <f t="shared" si="194"/>
        <v>#REF!</v>
      </c>
      <c r="CX33" s="102" t="e">
        <f t="shared" si="194"/>
        <v>#REF!</v>
      </c>
      <c r="CY33" s="93" t="e">
        <f t="shared" si="194"/>
        <v>#REF!</v>
      </c>
      <c r="CZ33" s="93" t="e">
        <f t="shared" si="195"/>
        <v>#REF!</v>
      </c>
      <c r="DA33" s="93" t="e">
        <f t="shared" si="195"/>
        <v>#REF!</v>
      </c>
      <c r="DB33" s="104" t="e">
        <f t="shared" si="195"/>
        <v>#REF!</v>
      </c>
      <c r="DC33" s="102" t="e">
        <f t="shared" si="195"/>
        <v>#REF!</v>
      </c>
      <c r="DD33" s="93" t="e">
        <f t="shared" si="195"/>
        <v>#REF!</v>
      </c>
      <c r="DE33" s="93" t="e">
        <f t="shared" si="195"/>
        <v>#REF!</v>
      </c>
      <c r="DF33" s="93" t="e">
        <f t="shared" si="195"/>
        <v>#REF!</v>
      </c>
      <c r="DG33" s="104" t="e">
        <f t="shared" si="195"/>
        <v>#REF!</v>
      </c>
      <c r="DH33" s="107"/>
      <c r="DI33" s="106"/>
    </row>
    <row r="34" spans="1:113" s="29" customFormat="1" ht="26" x14ac:dyDescent="0.25">
      <c r="A34" s="37" t="str">
        <f t="shared" si="177"/>
        <v>1.24</v>
      </c>
      <c r="B34">
        <v>202510064</v>
      </c>
      <c r="C34" s="109" t="str">
        <f>IF(C$7=-1,"",INDEX(INDEX('Project List'!$1:$1048576,0,C$7),MATCH($B34,'Project List'!$A:$A,0)))</f>
        <v>广纪路19号燃气管道改造</v>
      </c>
      <c r="D34" s="109" t="str">
        <f>IF(D$7=-1,"",INDEX(INDEX('Project List'!$1:$1048576,0,D$7),MATCH($B34,'Project List'!$A:$A,0)))</f>
        <v>管线</v>
      </c>
      <c r="E34" s="109" t="str">
        <f>IF(E$7=-1,"",INDEX(INDEX('Project List'!$1:$1048576,0,E$7),MATCH($B34,'Project List'!$A:$A,0)))</f>
        <v>地铁运营线路3号线虹口足球场站至赤峰路站区间</v>
      </c>
      <c r="F34" s="46">
        <f>IF(F$7=-1,"",INDEX(INDEX('Project List'!$1:$1048576,0,F$7),MATCH($B34,'Project List'!$A:$A,0)))</f>
        <v>45979</v>
      </c>
      <c r="G34" s="46">
        <f t="shared" si="200"/>
        <v>45986</v>
      </c>
      <c r="H34" s="49">
        <f t="shared" si="201"/>
        <v>1</v>
      </c>
      <c r="I34" s="47" t="s">
        <v>6</v>
      </c>
      <c r="J34" s="47" t="s">
        <v>144</v>
      </c>
      <c r="K34" s="47" t="s">
        <v>138</v>
      </c>
      <c r="L34" s="115"/>
      <c r="M34" s="48"/>
      <c r="N34" s="77" t="str">
        <f t="shared" si="186"/>
        <v/>
      </c>
      <c r="O34" s="78" t="str">
        <f t="shared" si="186"/>
        <v/>
      </c>
      <c r="P34" s="78" t="str">
        <f t="shared" si="186"/>
        <v/>
      </c>
      <c r="Q34" s="78" t="str">
        <f t="shared" si="186"/>
        <v/>
      </c>
      <c r="R34" s="78" t="str">
        <f t="shared" si="186"/>
        <v/>
      </c>
      <c r="S34" s="78" t="str">
        <f t="shared" si="186"/>
        <v/>
      </c>
      <c r="T34" s="79" t="str">
        <f t="shared" si="186"/>
        <v/>
      </c>
      <c r="U34" s="77" t="str">
        <f t="shared" si="186"/>
        <v/>
      </c>
      <c r="V34" s="78" t="str">
        <f t="shared" si="186"/>
        <v/>
      </c>
      <c r="W34" s="78" t="str">
        <f t="shared" si="186"/>
        <v/>
      </c>
      <c r="X34" s="78" t="str">
        <f t="shared" si="187"/>
        <v/>
      </c>
      <c r="Y34" s="78" t="str">
        <f t="shared" si="187"/>
        <v/>
      </c>
      <c r="Z34" s="78" t="str">
        <f t="shared" si="187"/>
        <v/>
      </c>
      <c r="AA34" s="79" t="str">
        <f t="shared" si="187"/>
        <v/>
      </c>
      <c r="AB34" s="77" t="str">
        <f t="shared" si="187"/>
        <v/>
      </c>
      <c r="AC34" s="78" t="str">
        <f t="shared" si="187"/>
        <v/>
      </c>
      <c r="AD34" s="78" t="str">
        <f t="shared" si="187"/>
        <v/>
      </c>
      <c r="AE34" s="78" t="str">
        <f t="shared" si="187"/>
        <v/>
      </c>
      <c r="AF34" s="78" t="str">
        <f t="shared" si="187"/>
        <v/>
      </c>
      <c r="AG34" s="78" t="str">
        <f t="shared" si="187"/>
        <v/>
      </c>
      <c r="AH34" s="79" t="str">
        <f t="shared" si="188"/>
        <v/>
      </c>
      <c r="AI34" s="77" t="str">
        <f t="shared" si="188"/>
        <v/>
      </c>
      <c r="AJ34" s="78" t="str">
        <f t="shared" si="188"/>
        <v/>
      </c>
      <c r="AK34" s="78" t="str">
        <f t="shared" si="188"/>
        <v/>
      </c>
      <c r="AL34" s="78" t="str">
        <f t="shared" si="188"/>
        <v/>
      </c>
      <c r="AM34" s="78" t="str">
        <f t="shared" si="188"/>
        <v/>
      </c>
      <c r="AN34" s="78" t="str">
        <f t="shared" si="188"/>
        <v/>
      </c>
      <c r="AO34" s="79" t="str">
        <f t="shared" si="188"/>
        <v/>
      </c>
      <c r="AP34" s="77" t="str">
        <f t="shared" si="188"/>
        <v/>
      </c>
      <c r="AQ34" s="78" t="str">
        <f t="shared" si="188"/>
        <v/>
      </c>
      <c r="AR34" s="78" t="str">
        <f t="shared" si="189"/>
        <v/>
      </c>
      <c r="AS34" s="78" t="str">
        <f t="shared" si="189"/>
        <v/>
      </c>
      <c r="AT34" s="78" t="str">
        <f t="shared" si="189"/>
        <v/>
      </c>
      <c r="AU34" s="78" t="str">
        <f t="shared" si="189"/>
        <v/>
      </c>
      <c r="AV34" s="79" t="str">
        <f t="shared" si="189"/>
        <v/>
      </c>
      <c r="AW34" s="77" t="str">
        <f t="shared" si="189"/>
        <v/>
      </c>
      <c r="AX34" s="78" t="str">
        <f t="shared" si="189"/>
        <v/>
      </c>
      <c r="AY34" s="78" t="str">
        <f t="shared" si="189"/>
        <v/>
      </c>
      <c r="AZ34" s="78" t="str">
        <f t="shared" si="189"/>
        <v/>
      </c>
      <c r="BA34" s="78" t="str">
        <f t="shared" si="189"/>
        <v/>
      </c>
      <c r="BB34" s="78" t="str">
        <f t="shared" si="190"/>
        <v/>
      </c>
      <c r="BC34" s="79" t="str">
        <f t="shared" si="190"/>
        <v/>
      </c>
      <c r="BD34" s="77" t="str">
        <f t="shared" si="190"/>
        <v/>
      </c>
      <c r="BE34" s="78" t="str">
        <f t="shared" si="190"/>
        <v/>
      </c>
      <c r="BF34" s="78" t="str">
        <f t="shared" si="190"/>
        <v/>
      </c>
      <c r="BG34" s="78" t="str">
        <f t="shared" si="190"/>
        <v/>
      </c>
      <c r="BH34" s="78" t="str">
        <f t="shared" si="190"/>
        <v/>
      </c>
      <c r="BI34" s="78" t="str">
        <f t="shared" si="190"/>
        <v/>
      </c>
      <c r="BJ34" s="79" t="str">
        <f t="shared" si="190"/>
        <v/>
      </c>
      <c r="BK34" s="77" t="str">
        <f t="shared" si="190"/>
        <v/>
      </c>
      <c r="BL34" s="78" t="str">
        <f t="shared" si="191"/>
        <v/>
      </c>
      <c r="BM34" s="78" t="str">
        <f t="shared" si="191"/>
        <v/>
      </c>
      <c r="BN34" s="78" t="str">
        <f t="shared" si="191"/>
        <v/>
      </c>
      <c r="BO34" s="78" t="str">
        <f t="shared" si="191"/>
        <v/>
      </c>
      <c r="BP34" s="78" t="str">
        <f t="shared" si="191"/>
        <v/>
      </c>
      <c r="BQ34" s="79" t="str">
        <f t="shared" si="191"/>
        <v/>
      </c>
      <c r="BR34" s="93" t="str">
        <f t="shared" si="191"/>
        <v/>
      </c>
      <c r="BS34" s="93" t="str">
        <f t="shared" si="191"/>
        <v/>
      </c>
      <c r="BT34" s="93" t="str">
        <f t="shared" si="191"/>
        <v/>
      </c>
      <c r="BU34" s="93" t="str">
        <f t="shared" si="191"/>
        <v/>
      </c>
      <c r="BV34" s="93" t="str">
        <f t="shared" si="192"/>
        <v/>
      </c>
      <c r="BW34" s="93" t="str">
        <f t="shared" si="192"/>
        <v/>
      </c>
      <c r="BX34" s="93" t="str">
        <f t="shared" si="192"/>
        <v/>
      </c>
      <c r="BY34" s="93" t="e">
        <f t="shared" si="192"/>
        <v>#REF!</v>
      </c>
      <c r="BZ34" s="93" t="e">
        <f t="shared" si="192"/>
        <v>#REF!</v>
      </c>
      <c r="CA34" s="93" t="e">
        <f t="shared" si="192"/>
        <v>#REF!</v>
      </c>
      <c r="CB34" s="93" t="e">
        <f t="shared" si="192"/>
        <v>#REF!</v>
      </c>
      <c r="CC34" s="93" t="e">
        <f t="shared" si="192"/>
        <v>#REF!</v>
      </c>
      <c r="CD34" s="102" t="e">
        <f t="shared" si="192"/>
        <v>#REF!</v>
      </c>
      <c r="CE34" s="93" t="e">
        <f t="shared" si="192"/>
        <v>#REF!</v>
      </c>
      <c r="CF34" s="93" t="e">
        <f t="shared" si="193"/>
        <v>#REF!</v>
      </c>
      <c r="CG34" s="93" t="e">
        <f t="shared" si="193"/>
        <v>#REF!</v>
      </c>
      <c r="CH34" s="104" t="e">
        <f t="shared" si="193"/>
        <v>#REF!</v>
      </c>
      <c r="CI34" s="102" t="e">
        <f t="shared" si="193"/>
        <v>#REF!</v>
      </c>
      <c r="CJ34" s="93" t="e">
        <f t="shared" si="193"/>
        <v>#REF!</v>
      </c>
      <c r="CK34" s="93" t="e">
        <f t="shared" si="193"/>
        <v>#REF!</v>
      </c>
      <c r="CL34" s="93" t="e">
        <f t="shared" si="193"/>
        <v>#REF!</v>
      </c>
      <c r="CM34" s="104" t="e">
        <f t="shared" si="193"/>
        <v>#REF!</v>
      </c>
      <c r="CN34" s="102" t="e">
        <f t="shared" si="193"/>
        <v>#REF!</v>
      </c>
      <c r="CO34" s="93" t="e">
        <f t="shared" si="193"/>
        <v>#REF!</v>
      </c>
      <c r="CP34" s="93" t="e">
        <f t="shared" si="194"/>
        <v>#REF!</v>
      </c>
      <c r="CQ34" s="93" t="e">
        <f t="shared" si="194"/>
        <v>#REF!</v>
      </c>
      <c r="CR34" s="104" t="e">
        <f t="shared" si="194"/>
        <v>#REF!</v>
      </c>
      <c r="CS34" s="102" t="e">
        <f t="shared" si="194"/>
        <v>#REF!</v>
      </c>
      <c r="CT34" s="93" t="e">
        <f t="shared" si="194"/>
        <v>#REF!</v>
      </c>
      <c r="CU34" s="93" t="e">
        <f t="shared" si="194"/>
        <v>#REF!</v>
      </c>
      <c r="CV34" s="93" t="e">
        <f t="shared" si="194"/>
        <v>#REF!</v>
      </c>
      <c r="CW34" s="104" t="e">
        <f t="shared" si="194"/>
        <v>#REF!</v>
      </c>
      <c r="CX34" s="102" t="e">
        <f t="shared" si="194"/>
        <v>#REF!</v>
      </c>
      <c r="CY34" s="93" t="e">
        <f t="shared" si="194"/>
        <v>#REF!</v>
      </c>
      <c r="CZ34" s="93" t="e">
        <f t="shared" si="195"/>
        <v>#REF!</v>
      </c>
      <c r="DA34" s="93" t="e">
        <f t="shared" si="195"/>
        <v>#REF!</v>
      </c>
      <c r="DB34" s="104" t="e">
        <f t="shared" si="195"/>
        <v>#REF!</v>
      </c>
      <c r="DC34" s="102" t="e">
        <f t="shared" si="195"/>
        <v>#REF!</v>
      </c>
      <c r="DD34" s="93" t="e">
        <f t="shared" si="195"/>
        <v>#REF!</v>
      </c>
      <c r="DE34" s="93" t="e">
        <f t="shared" si="195"/>
        <v>#REF!</v>
      </c>
      <c r="DF34" s="93" t="e">
        <f t="shared" si="195"/>
        <v>#REF!</v>
      </c>
      <c r="DG34" s="104" t="e">
        <f t="shared" si="195"/>
        <v>#REF!</v>
      </c>
      <c r="DH34" s="107"/>
      <c r="DI34" s="106"/>
    </row>
    <row r="35" spans="1:113" s="29" customFormat="1" ht="26" x14ac:dyDescent="0.25">
      <c r="A35" s="37" t="str">
        <f t="shared" si="177"/>
        <v>1.25</v>
      </c>
      <c r="B35">
        <v>202510099</v>
      </c>
      <c r="C35" s="109" t="str">
        <f>IF(C$7=-1,"",INDEX(INDEX('Project List'!$1:$1048576,0,C$7),MATCH($B35,'Project List'!$A:$A,0)))</f>
        <v>广纪路171弄、中山北一路665号燃气管道改造</v>
      </c>
      <c r="D35" s="109" t="str">
        <f>IF(D$7=-1,"",INDEX(INDEX('Project List'!$1:$1048576,0,D$7),MATCH($B35,'Project List'!$A:$A,0)))</f>
        <v>管线</v>
      </c>
      <c r="E35" s="109" t="str">
        <f>IF(E$7=-1,"",INDEX(INDEX('Project List'!$1:$1048576,0,E$7),MATCH($B35,'Project List'!$A:$A,0)))</f>
        <v>地铁运营线路3号线大柏树站至赤峰路站区间</v>
      </c>
      <c r="F35" s="46">
        <f>IF(F$7=-1,"",INDEX(INDEX('Project List'!$1:$1048576,0,F$7),MATCH($B35,'Project List'!$A:$A,0)))</f>
        <v>45979</v>
      </c>
      <c r="G35" s="46">
        <f t="shared" si="200"/>
        <v>45986</v>
      </c>
      <c r="H35" s="49">
        <f t="shared" si="201"/>
        <v>1</v>
      </c>
      <c r="I35" s="47" t="s">
        <v>6</v>
      </c>
      <c r="J35" s="47" t="s">
        <v>144</v>
      </c>
      <c r="K35" s="47" t="s">
        <v>138</v>
      </c>
      <c r="L35" s="115"/>
      <c r="M35" s="48"/>
      <c r="N35" s="77" t="str">
        <f t="shared" si="186"/>
        <v/>
      </c>
      <c r="O35" s="78" t="str">
        <f t="shared" si="186"/>
        <v/>
      </c>
      <c r="P35" s="78" t="str">
        <f t="shared" si="186"/>
        <v/>
      </c>
      <c r="Q35" s="78" t="str">
        <f t="shared" si="186"/>
        <v/>
      </c>
      <c r="R35" s="78" t="str">
        <f t="shared" si="186"/>
        <v/>
      </c>
      <c r="S35" s="78" t="str">
        <f t="shared" si="186"/>
        <v/>
      </c>
      <c r="T35" s="79" t="str">
        <f t="shared" si="186"/>
        <v/>
      </c>
      <c r="U35" s="77" t="str">
        <f t="shared" si="186"/>
        <v/>
      </c>
      <c r="V35" s="78" t="str">
        <f t="shared" si="186"/>
        <v/>
      </c>
      <c r="W35" s="78" t="str">
        <f t="shared" si="186"/>
        <v/>
      </c>
      <c r="X35" s="78" t="str">
        <f t="shared" si="187"/>
        <v/>
      </c>
      <c r="Y35" s="78" t="str">
        <f t="shared" si="187"/>
        <v/>
      </c>
      <c r="Z35" s="78" t="str">
        <f t="shared" si="187"/>
        <v/>
      </c>
      <c r="AA35" s="79" t="str">
        <f t="shared" si="187"/>
        <v/>
      </c>
      <c r="AB35" s="77" t="str">
        <f t="shared" si="187"/>
        <v/>
      </c>
      <c r="AC35" s="78" t="str">
        <f t="shared" si="187"/>
        <v/>
      </c>
      <c r="AD35" s="78" t="str">
        <f t="shared" si="187"/>
        <v/>
      </c>
      <c r="AE35" s="78" t="str">
        <f t="shared" si="187"/>
        <v/>
      </c>
      <c r="AF35" s="78" t="str">
        <f t="shared" si="187"/>
        <v/>
      </c>
      <c r="AG35" s="78" t="str">
        <f t="shared" si="187"/>
        <v/>
      </c>
      <c r="AH35" s="79" t="str">
        <f t="shared" si="188"/>
        <v/>
      </c>
      <c r="AI35" s="77" t="str">
        <f t="shared" si="188"/>
        <v/>
      </c>
      <c r="AJ35" s="78" t="str">
        <f t="shared" si="188"/>
        <v/>
      </c>
      <c r="AK35" s="78" t="str">
        <f t="shared" si="188"/>
        <v/>
      </c>
      <c r="AL35" s="78" t="str">
        <f t="shared" si="188"/>
        <v/>
      </c>
      <c r="AM35" s="78" t="str">
        <f t="shared" si="188"/>
        <v/>
      </c>
      <c r="AN35" s="78" t="str">
        <f t="shared" si="188"/>
        <v/>
      </c>
      <c r="AO35" s="79" t="str">
        <f t="shared" si="188"/>
        <v/>
      </c>
      <c r="AP35" s="77" t="str">
        <f t="shared" si="188"/>
        <v/>
      </c>
      <c r="AQ35" s="78" t="str">
        <f t="shared" si="188"/>
        <v/>
      </c>
      <c r="AR35" s="78" t="str">
        <f t="shared" si="189"/>
        <v/>
      </c>
      <c r="AS35" s="78" t="str">
        <f t="shared" si="189"/>
        <v/>
      </c>
      <c r="AT35" s="78" t="str">
        <f t="shared" si="189"/>
        <v/>
      </c>
      <c r="AU35" s="78" t="str">
        <f t="shared" si="189"/>
        <v/>
      </c>
      <c r="AV35" s="79" t="str">
        <f t="shared" si="189"/>
        <v/>
      </c>
      <c r="AW35" s="77" t="str">
        <f t="shared" si="189"/>
        <v/>
      </c>
      <c r="AX35" s="78" t="str">
        <f t="shared" si="189"/>
        <v/>
      </c>
      <c r="AY35" s="78" t="str">
        <f t="shared" si="189"/>
        <v/>
      </c>
      <c r="AZ35" s="78" t="str">
        <f t="shared" si="189"/>
        <v/>
      </c>
      <c r="BA35" s="78" t="str">
        <f t="shared" si="189"/>
        <v/>
      </c>
      <c r="BB35" s="78" t="str">
        <f t="shared" si="190"/>
        <v/>
      </c>
      <c r="BC35" s="79" t="str">
        <f t="shared" si="190"/>
        <v/>
      </c>
      <c r="BD35" s="77" t="str">
        <f t="shared" si="190"/>
        <v/>
      </c>
      <c r="BE35" s="78" t="str">
        <f t="shared" si="190"/>
        <v/>
      </c>
      <c r="BF35" s="78" t="str">
        <f t="shared" si="190"/>
        <v/>
      </c>
      <c r="BG35" s="78" t="str">
        <f t="shared" si="190"/>
        <v/>
      </c>
      <c r="BH35" s="78" t="str">
        <f t="shared" si="190"/>
        <v/>
      </c>
      <c r="BI35" s="78" t="str">
        <f t="shared" si="190"/>
        <v/>
      </c>
      <c r="BJ35" s="79" t="str">
        <f t="shared" si="190"/>
        <v/>
      </c>
      <c r="BK35" s="77" t="str">
        <f t="shared" si="190"/>
        <v/>
      </c>
      <c r="BL35" s="78" t="str">
        <f t="shared" si="191"/>
        <v/>
      </c>
      <c r="BM35" s="78" t="str">
        <f t="shared" si="191"/>
        <v/>
      </c>
      <c r="BN35" s="78" t="str">
        <f t="shared" si="191"/>
        <v/>
      </c>
      <c r="BO35" s="78" t="str">
        <f t="shared" si="191"/>
        <v/>
      </c>
      <c r="BP35" s="78" t="str">
        <f t="shared" si="191"/>
        <v/>
      </c>
      <c r="BQ35" s="79" t="str">
        <f t="shared" si="191"/>
        <v/>
      </c>
      <c r="BR35" s="93" t="str">
        <f t="shared" si="191"/>
        <v/>
      </c>
      <c r="BS35" s="93" t="str">
        <f t="shared" si="191"/>
        <v/>
      </c>
      <c r="BT35" s="93" t="str">
        <f t="shared" si="191"/>
        <v/>
      </c>
      <c r="BU35" s="93" t="str">
        <f t="shared" si="191"/>
        <v/>
      </c>
      <c r="BV35" s="93" t="str">
        <f t="shared" si="192"/>
        <v/>
      </c>
      <c r="BW35" s="93" t="str">
        <f t="shared" si="192"/>
        <v/>
      </c>
      <c r="BX35" s="93" t="str">
        <f t="shared" si="192"/>
        <v/>
      </c>
      <c r="BY35" s="93" t="e">
        <f t="shared" si="192"/>
        <v>#REF!</v>
      </c>
      <c r="BZ35" s="93" t="e">
        <f t="shared" si="192"/>
        <v>#REF!</v>
      </c>
      <c r="CA35" s="93" t="e">
        <f t="shared" si="192"/>
        <v>#REF!</v>
      </c>
      <c r="CB35" s="93" t="e">
        <f t="shared" si="192"/>
        <v>#REF!</v>
      </c>
      <c r="CC35" s="93" t="e">
        <f t="shared" si="192"/>
        <v>#REF!</v>
      </c>
      <c r="CD35" s="102" t="e">
        <f t="shared" si="192"/>
        <v>#REF!</v>
      </c>
      <c r="CE35" s="93" t="e">
        <f t="shared" si="192"/>
        <v>#REF!</v>
      </c>
      <c r="CF35" s="93" t="e">
        <f t="shared" si="193"/>
        <v>#REF!</v>
      </c>
      <c r="CG35" s="93" t="e">
        <f t="shared" si="193"/>
        <v>#REF!</v>
      </c>
      <c r="CH35" s="104" t="e">
        <f t="shared" si="193"/>
        <v>#REF!</v>
      </c>
      <c r="CI35" s="102" t="e">
        <f t="shared" si="193"/>
        <v>#REF!</v>
      </c>
      <c r="CJ35" s="93" t="e">
        <f t="shared" si="193"/>
        <v>#REF!</v>
      </c>
      <c r="CK35" s="93" t="e">
        <f t="shared" si="193"/>
        <v>#REF!</v>
      </c>
      <c r="CL35" s="93" t="e">
        <f t="shared" si="193"/>
        <v>#REF!</v>
      </c>
      <c r="CM35" s="104" t="e">
        <f t="shared" si="193"/>
        <v>#REF!</v>
      </c>
      <c r="CN35" s="102" t="e">
        <f t="shared" si="193"/>
        <v>#REF!</v>
      </c>
      <c r="CO35" s="93" t="e">
        <f t="shared" si="193"/>
        <v>#REF!</v>
      </c>
      <c r="CP35" s="93" t="e">
        <f t="shared" si="194"/>
        <v>#REF!</v>
      </c>
      <c r="CQ35" s="93" t="e">
        <f t="shared" si="194"/>
        <v>#REF!</v>
      </c>
      <c r="CR35" s="104" t="e">
        <f t="shared" si="194"/>
        <v>#REF!</v>
      </c>
      <c r="CS35" s="102" t="e">
        <f t="shared" si="194"/>
        <v>#REF!</v>
      </c>
      <c r="CT35" s="93" t="e">
        <f t="shared" si="194"/>
        <v>#REF!</v>
      </c>
      <c r="CU35" s="93" t="e">
        <f t="shared" si="194"/>
        <v>#REF!</v>
      </c>
      <c r="CV35" s="93" t="e">
        <f t="shared" si="194"/>
        <v>#REF!</v>
      </c>
      <c r="CW35" s="104" t="e">
        <f t="shared" si="194"/>
        <v>#REF!</v>
      </c>
      <c r="CX35" s="102" t="e">
        <f t="shared" si="194"/>
        <v>#REF!</v>
      </c>
      <c r="CY35" s="93" t="e">
        <f t="shared" si="194"/>
        <v>#REF!</v>
      </c>
      <c r="CZ35" s="93" t="e">
        <f t="shared" si="195"/>
        <v>#REF!</v>
      </c>
      <c r="DA35" s="93" t="e">
        <f t="shared" si="195"/>
        <v>#REF!</v>
      </c>
      <c r="DB35" s="104" t="e">
        <f t="shared" si="195"/>
        <v>#REF!</v>
      </c>
      <c r="DC35" s="102" t="e">
        <f t="shared" si="195"/>
        <v>#REF!</v>
      </c>
      <c r="DD35" s="93" t="e">
        <f t="shared" si="195"/>
        <v>#REF!</v>
      </c>
      <c r="DE35" s="93" t="e">
        <f t="shared" si="195"/>
        <v>#REF!</v>
      </c>
      <c r="DF35" s="93" t="e">
        <f t="shared" si="195"/>
        <v>#REF!</v>
      </c>
      <c r="DG35" s="104" t="e">
        <f t="shared" si="195"/>
        <v>#REF!</v>
      </c>
      <c r="DH35" s="107"/>
      <c r="DI35" s="106"/>
    </row>
    <row r="36" spans="1:113" s="29" customFormat="1" ht="26" x14ac:dyDescent="0.25">
      <c r="A36" s="37" t="str">
        <f t="shared" si="177"/>
        <v>1.26</v>
      </c>
      <c r="B36" s="122">
        <v>202511063</v>
      </c>
      <c r="C36" s="109" t="str">
        <f>IF(C$7=-1,"",INDEX(INDEX('Project List'!$1:$1048576,0,C$7),MATCH($B36,'Project List'!$A:$A,0)))</f>
        <v>皋兰山路武威路上水排管项目</v>
      </c>
      <c r="D36" s="109" t="str">
        <f>IF(D$7=-1,"",INDEX(INDEX('Project List'!$1:$1048576,0,D$7),MATCH($B36,'Project List'!$A:$A,0)))</f>
        <v>管线</v>
      </c>
      <c r="E36" s="109" t="str">
        <f>IF(E$7=-1,"",INDEX(INDEX('Project List'!$1:$1048576,0,E$7),MATCH($B36,'Project List'!$A:$A,0)))</f>
        <v>地铁运营线路11号线武威路车站或桃浦新村站至武威路站区间</v>
      </c>
      <c r="F36" s="46">
        <f>IF(F$7=-1,"",INDEX(INDEX('Project List'!$1:$1048576,0,F$7),MATCH($B36,'Project List'!$A:$A,0)))</f>
        <v>45980</v>
      </c>
      <c r="G36" s="46">
        <f t="shared" si="198"/>
        <v>45987</v>
      </c>
      <c r="H36" s="49">
        <f t="shared" si="199"/>
        <v>1</v>
      </c>
      <c r="I36" s="47" t="s">
        <v>6</v>
      </c>
      <c r="J36" s="47" t="s">
        <v>144</v>
      </c>
      <c r="K36" s="47" t="s">
        <v>41</v>
      </c>
      <c r="L36" s="115"/>
      <c r="M36" s="48"/>
      <c r="N36" s="77" t="str">
        <f t="shared" si="186"/>
        <v/>
      </c>
      <c r="O36" s="78" t="str">
        <f t="shared" si="186"/>
        <v/>
      </c>
      <c r="P36" s="78" t="str">
        <f t="shared" si="186"/>
        <v/>
      </c>
      <c r="Q36" s="78" t="str">
        <f t="shared" si="186"/>
        <v/>
      </c>
      <c r="R36" s="78" t="str">
        <f t="shared" si="186"/>
        <v/>
      </c>
      <c r="S36" s="78" t="str">
        <f t="shared" si="186"/>
        <v/>
      </c>
      <c r="T36" s="79" t="str">
        <f t="shared" si="186"/>
        <v/>
      </c>
      <c r="U36" s="77" t="str">
        <f t="shared" si="186"/>
        <v/>
      </c>
      <c r="V36" s="78" t="str">
        <f t="shared" si="186"/>
        <v/>
      </c>
      <c r="W36" s="78" t="str">
        <f t="shared" si="186"/>
        <v/>
      </c>
      <c r="X36" s="78" t="str">
        <f t="shared" si="187"/>
        <v/>
      </c>
      <c r="Y36" s="78" t="str">
        <f t="shared" si="187"/>
        <v/>
      </c>
      <c r="Z36" s="78" t="str">
        <f t="shared" si="187"/>
        <v/>
      </c>
      <c r="AA36" s="79" t="str">
        <f t="shared" si="187"/>
        <v/>
      </c>
      <c r="AB36" s="77" t="str">
        <f t="shared" si="187"/>
        <v/>
      </c>
      <c r="AC36" s="78" t="str">
        <f t="shared" si="187"/>
        <v/>
      </c>
      <c r="AD36" s="78" t="str">
        <f t="shared" si="187"/>
        <v/>
      </c>
      <c r="AE36" s="78" t="str">
        <f t="shared" si="187"/>
        <v/>
      </c>
      <c r="AF36" s="78" t="str">
        <f t="shared" si="187"/>
        <v/>
      </c>
      <c r="AG36" s="78" t="str">
        <f t="shared" si="187"/>
        <v/>
      </c>
      <c r="AH36" s="79" t="str">
        <f t="shared" si="188"/>
        <v/>
      </c>
      <c r="AI36" s="77" t="str">
        <f t="shared" si="188"/>
        <v/>
      </c>
      <c r="AJ36" s="78" t="str">
        <f t="shared" si="188"/>
        <v/>
      </c>
      <c r="AK36" s="78" t="str">
        <f t="shared" si="188"/>
        <v/>
      </c>
      <c r="AL36" s="78" t="str">
        <f t="shared" si="188"/>
        <v/>
      </c>
      <c r="AM36" s="78" t="str">
        <f t="shared" si="188"/>
        <v/>
      </c>
      <c r="AN36" s="78" t="str">
        <f t="shared" si="188"/>
        <v/>
      </c>
      <c r="AO36" s="79" t="str">
        <f t="shared" si="188"/>
        <v/>
      </c>
      <c r="AP36" s="77" t="str">
        <f t="shared" si="188"/>
        <v/>
      </c>
      <c r="AQ36" s="78" t="str">
        <f t="shared" si="188"/>
        <v/>
      </c>
      <c r="AR36" s="78" t="str">
        <f t="shared" si="189"/>
        <v/>
      </c>
      <c r="AS36" s="78" t="str">
        <f t="shared" si="189"/>
        <v/>
      </c>
      <c r="AT36" s="78" t="str">
        <f t="shared" si="189"/>
        <v/>
      </c>
      <c r="AU36" s="78" t="str">
        <f t="shared" si="189"/>
        <v/>
      </c>
      <c r="AV36" s="79" t="str">
        <f t="shared" si="189"/>
        <v/>
      </c>
      <c r="AW36" s="77" t="str">
        <f t="shared" si="189"/>
        <v/>
      </c>
      <c r="AX36" s="78" t="str">
        <f t="shared" si="189"/>
        <v/>
      </c>
      <c r="AY36" s="78" t="str">
        <f t="shared" si="189"/>
        <v/>
      </c>
      <c r="AZ36" s="78" t="str">
        <f t="shared" si="189"/>
        <v/>
      </c>
      <c r="BA36" s="78" t="str">
        <f t="shared" si="189"/>
        <v/>
      </c>
      <c r="BB36" s="78" t="str">
        <f t="shared" si="190"/>
        <v/>
      </c>
      <c r="BC36" s="79" t="str">
        <f t="shared" si="190"/>
        <v/>
      </c>
      <c r="BD36" s="77" t="str">
        <f t="shared" si="190"/>
        <v/>
      </c>
      <c r="BE36" s="78" t="str">
        <f t="shared" si="190"/>
        <v/>
      </c>
      <c r="BF36" s="78" t="str">
        <f t="shared" si="190"/>
        <v/>
      </c>
      <c r="BG36" s="78" t="str">
        <f t="shared" si="190"/>
        <v/>
      </c>
      <c r="BH36" s="78" t="str">
        <f t="shared" si="190"/>
        <v/>
      </c>
      <c r="BI36" s="78" t="str">
        <f t="shared" si="190"/>
        <v/>
      </c>
      <c r="BJ36" s="79" t="str">
        <f t="shared" si="190"/>
        <v/>
      </c>
      <c r="BK36" s="77" t="str">
        <f t="shared" si="190"/>
        <v/>
      </c>
      <c r="BL36" s="78" t="str">
        <f t="shared" si="191"/>
        <v/>
      </c>
      <c r="BM36" s="78" t="str">
        <f t="shared" si="191"/>
        <v/>
      </c>
      <c r="BN36" s="78" t="str">
        <f t="shared" si="191"/>
        <v/>
      </c>
      <c r="BO36" s="78" t="str">
        <f t="shared" si="191"/>
        <v/>
      </c>
      <c r="BP36" s="78" t="str">
        <f t="shared" si="191"/>
        <v/>
      </c>
      <c r="BQ36" s="79" t="str">
        <f t="shared" si="191"/>
        <v/>
      </c>
      <c r="BR36" s="93" t="str">
        <f t="shared" si="191"/>
        <v/>
      </c>
      <c r="BS36" s="93" t="str">
        <f t="shared" si="191"/>
        <v/>
      </c>
      <c r="BT36" s="93" t="str">
        <f t="shared" si="191"/>
        <v/>
      </c>
      <c r="BU36" s="93" t="str">
        <f t="shared" si="191"/>
        <v/>
      </c>
      <c r="BV36" s="93" t="str">
        <f t="shared" si="192"/>
        <v/>
      </c>
      <c r="BW36" s="93" t="str">
        <f t="shared" si="192"/>
        <v/>
      </c>
      <c r="BX36" s="93" t="str">
        <f t="shared" si="192"/>
        <v/>
      </c>
      <c r="BY36" s="93" t="e">
        <f t="shared" si="192"/>
        <v>#REF!</v>
      </c>
      <c r="BZ36" s="93" t="e">
        <f t="shared" si="192"/>
        <v>#REF!</v>
      </c>
      <c r="CA36" s="93" t="e">
        <f t="shared" si="192"/>
        <v>#REF!</v>
      </c>
      <c r="CB36" s="93" t="e">
        <f t="shared" si="192"/>
        <v>#REF!</v>
      </c>
      <c r="CC36" s="93" t="e">
        <f t="shared" si="192"/>
        <v>#REF!</v>
      </c>
      <c r="CD36" s="102" t="e">
        <f t="shared" si="192"/>
        <v>#REF!</v>
      </c>
      <c r="CE36" s="93" t="e">
        <f t="shared" si="192"/>
        <v>#REF!</v>
      </c>
      <c r="CF36" s="93" t="e">
        <f t="shared" si="193"/>
        <v>#REF!</v>
      </c>
      <c r="CG36" s="93" t="e">
        <f t="shared" si="193"/>
        <v>#REF!</v>
      </c>
      <c r="CH36" s="104" t="e">
        <f t="shared" si="193"/>
        <v>#REF!</v>
      </c>
      <c r="CI36" s="102" t="e">
        <f t="shared" si="193"/>
        <v>#REF!</v>
      </c>
      <c r="CJ36" s="93" t="e">
        <f t="shared" si="193"/>
        <v>#REF!</v>
      </c>
      <c r="CK36" s="93" t="e">
        <f t="shared" si="193"/>
        <v>#REF!</v>
      </c>
      <c r="CL36" s="93" t="e">
        <f t="shared" si="193"/>
        <v>#REF!</v>
      </c>
      <c r="CM36" s="104" t="e">
        <f t="shared" si="193"/>
        <v>#REF!</v>
      </c>
      <c r="CN36" s="102" t="e">
        <f t="shared" si="193"/>
        <v>#REF!</v>
      </c>
      <c r="CO36" s="93" t="e">
        <f t="shared" si="193"/>
        <v>#REF!</v>
      </c>
      <c r="CP36" s="93" t="e">
        <f t="shared" si="194"/>
        <v>#REF!</v>
      </c>
      <c r="CQ36" s="93" t="e">
        <f t="shared" si="194"/>
        <v>#REF!</v>
      </c>
      <c r="CR36" s="104" t="e">
        <f t="shared" si="194"/>
        <v>#REF!</v>
      </c>
      <c r="CS36" s="102" t="e">
        <f t="shared" si="194"/>
        <v>#REF!</v>
      </c>
      <c r="CT36" s="93" t="e">
        <f t="shared" si="194"/>
        <v>#REF!</v>
      </c>
      <c r="CU36" s="93" t="e">
        <f t="shared" si="194"/>
        <v>#REF!</v>
      </c>
      <c r="CV36" s="93" t="e">
        <f t="shared" si="194"/>
        <v>#REF!</v>
      </c>
      <c r="CW36" s="104" t="e">
        <f t="shared" si="194"/>
        <v>#REF!</v>
      </c>
      <c r="CX36" s="102" t="e">
        <f t="shared" si="194"/>
        <v>#REF!</v>
      </c>
      <c r="CY36" s="93" t="e">
        <f t="shared" si="194"/>
        <v>#REF!</v>
      </c>
      <c r="CZ36" s="93" t="e">
        <f t="shared" si="195"/>
        <v>#REF!</v>
      </c>
      <c r="DA36" s="93" t="e">
        <f t="shared" si="195"/>
        <v>#REF!</v>
      </c>
      <c r="DB36" s="104" t="e">
        <f t="shared" si="195"/>
        <v>#REF!</v>
      </c>
      <c r="DC36" s="102" t="e">
        <f t="shared" si="195"/>
        <v>#REF!</v>
      </c>
      <c r="DD36" s="93" t="e">
        <f t="shared" si="195"/>
        <v>#REF!</v>
      </c>
      <c r="DE36" s="93" t="e">
        <f t="shared" si="195"/>
        <v>#REF!</v>
      </c>
      <c r="DF36" s="93" t="e">
        <f t="shared" si="195"/>
        <v>#REF!</v>
      </c>
      <c r="DG36" s="104" t="e">
        <f t="shared" si="195"/>
        <v>#REF!</v>
      </c>
      <c r="DH36" s="107"/>
      <c r="DI36" s="106"/>
    </row>
    <row r="37" spans="1:113" s="29" customFormat="1" ht="26" x14ac:dyDescent="0.25">
      <c r="A37" s="37" t="str">
        <f t="shared" si="177"/>
        <v>1.27</v>
      </c>
      <c r="B37" s="122">
        <v>202504072</v>
      </c>
      <c r="C37" s="109" t="str">
        <f>IF(C$7=-1,"",INDEX(INDEX('Project List'!$1:$1048576,0,C$7),MATCH($B37,'Project List'!$A:$A,0)))</f>
        <v>世博水环品质提升工程（一期）D段</v>
      </c>
      <c r="D37" s="109" t="str">
        <f>IF(D$7=-1,"",INDEX(INDEX('Project List'!$1:$1048576,0,D$7),MATCH($B37,'Project List'!$A:$A,0)))</f>
        <v>绿化</v>
      </c>
      <c r="E37" s="109" t="str">
        <f>IF(E$7=-1,"",INDEX(INDEX('Project List'!$1:$1048576,0,E$7),MATCH($B37,'Project List'!$A:$A,0)))</f>
        <v>地铁运营线路11号线三林站至三林东站区间</v>
      </c>
      <c r="F37" s="46">
        <f>IF(F$7=-1,"",INDEX(INDEX('Project List'!$1:$1048576,0,F$7),MATCH($B37,'Project List'!$A:$A,0)))</f>
        <v>45981</v>
      </c>
      <c r="G37" s="46">
        <f t="shared" ref="G37:G41" si="202">F37+7</f>
        <v>45988</v>
      </c>
      <c r="H37" s="49">
        <f t="shared" ref="H37:H41" si="203">IF(OR(K37="销项",K37="已上传",K37="退回"),1,IF(K37="待上传",0.7,IF(K37="已发校审未返",0.3,IF(OR(K37="需沟通",K37="退回"),0,-1))))</f>
        <v>0.3</v>
      </c>
      <c r="I37" s="47" t="s">
        <v>6</v>
      </c>
      <c r="J37" s="47" t="s">
        <v>144</v>
      </c>
      <c r="K37" s="47" t="s">
        <v>137</v>
      </c>
      <c r="L37" s="115"/>
      <c r="M37" s="48"/>
      <c r="N37" s="77" t="str">
        <f t="shared" si="186"/>
        <v/>
      </c>
      <c r="O37" s="78" t="str">
        <f t="shared" si="186"/>
        <v/>
      </c>
      <c r="P37" s="78" t="str">
        <f t="shared" si="186"/>
        <v/>
      </c>
      <c r="Q37" s="78" t="str">
        <f t="shared" si="186"/>
        <v/>
      </c>
      <c r="R37" s="78" t="str">
        <f t="shared" si="186"/>
        <v/>
      </c>
      <c r="S37" s="78" t="str">
        <f t="shared" si="186"/>
        <v/>
      </c>
      <c r="T37" s="79" t="str">
        <f t="shared" si="186"/>
        <v/>
      </c>
      <c r="U37" s="77" t="str">
        <f t="shared" si="186"/>
        <v/>
      </c>
      <c r="V37" s="78" t="str">
        <f t="shared" si="186"/>
        <v/>
      </c>
      <c r="W37" s="78" t="str">
        <f t="shared" si="186"/>
        <v/>
      </c>
      <c r="X37" s="78" t="str">
        <f t="shared" si="187"/>
        <v/>
      </c>
      <c r="Y37" s="78" t="str">
        <f t="shared" si="187"/>
        <v/>
      </c>
      <c r="Z37" s="78" t="str">
        <f t="shared" si="187"/>
        <v/>
      </c>
      <c r="AA37" s="79" t="str">
        <f t="shared" si="187"/>
        <v/>
      </c>
      <c r="AB37" s="77" t="str">
        <f t="shared" si="187"/>
        <v/>
      </c>
      <c r="AC37" s="78" t="str">
        <f t="shared" si="187"/>
        <v/>
      </c>
      <c r="AD37" s="78" t="str">
        <f t="shared" si="187"/>
        <v/>
      </c>
      <c r="AE37" s="78" t="str">
        <f t="shared" si="187"/>
        <v/>
      </c>
      <c r="AF37" s="78" t="str">
        <f t="shared" si="187"/>
        <v/>
      </c>
      <c r="AG37" s="78" t="str">
        <f t="shared" si="187"/>
        <v/>
      </c>
      <c r="AH37" s="79" t="str">
        <f t="shared" si="188"/>
        <v/>
      </c>
      <c r="AI37" s="77" t="str">
        <f t="shared" si="188"/>
        <v/>
      </c>
      <c r="AJ37" s="78" t="str">
        <f t="shared" si="188"/>
        <v/>
      </c>
      <c r="AK37" s="78" t="str">
        <f t="shared" si="188"/>
        <v/>
      </c>
      <c r="AL37" s="78" t="str">
        <f t="shared" si="188"/>
        <v/>
      </c>
      <c r="AM37" s="78" t="str">
        <f t="shared" si="188"/>
        <v/>
      </c>
      <c r="AN37" s="78" t="str">
        <f t="shared" si="188"/>
        <v/>
      </c>
      <c r="AO37" s="79" t="str">
        <f t="shared" si="188"/>
        <v/>
      </c>
      <c r="AP37" s="77" t="str">
        <f t="shared" si="188"/>
        <v/>
      </c>
      <c r="AQ37" s="78" t="str">
        <f t="shared" si="188"/>
        <v/>
      </c>
      <c r="AR37" s="78" t="str">
        <f t="shared" si="189"/>
        <v/>
      </c>
      <c r="AS37" s="78" t="str">
        <f t="shared" si="189"/>
        <v/>
      </c>
      <c r="AT37" s="78" t="str">
        <f t="shared" si="189"/>
        <v/>
      </c>
      <c r="AU37" s="78" t="str">
        <f t="shared" si="189"/>
        <v/>
      </c>
      <c r="AV37" s="79" t="str">
        <f t="shared" si="189"/>
        <v/>
      </c>
      <c r="AW37" s="77" t="str">
        <f t="shared" si="189"/>
        <v/>
      </c>
      <c r="AX37" s="78" t="str">
        <f t="shared" si="189"/>
        <v/>
      </c>
      <c r="AY37" s="78" t="str">
        <f t="shared" si="189"/>
        <v/>
      </c>
      <c r="AZ37" s="78" t="str">
        <f t="shared" si="189"/>
        <v/>
      </c>
      <c r="BA37" s="78" t="str">
        <f t="shared" si="189"/>
        <v/>
      </c>
      <c r="BB37" s="78" t="str">
        <f t="shared" si="190"/>
        <v/>
      </c>
      <c r="BC37" s="79" t="str">
        <f t="shared" si="190"/>
        <v/>
      </c>
      <c r="BD37" s="77" t="str">
        <f t="shared" si="190"/>
        <v/>
      </c>
      <c r="BE37" s="78" t="str">
        <f t="shared" si="190"/>
        <v/>
      </c>
      <c r="BF37" s="78" t="str">
        <f t="shared" si="190"/>
        <v/>
      </c>
      <c r="BG37" s="78" t="str">
        <f t="shared" si="190"/>
        <v/>
      </c>
      <c r="BH37" s="78" t="str">
        <f t="shared" si="190"/>
        <v/>
      </c>
      <c r="BI37" s="78" t="str">
        <f t="shared" si="190"/>
        <v/>
      </c>
      <c r="BJ37" s="79" t="str">
        <f t="shared" si="190"/>
        <v/>
      </c>
      <c r="BK37" s="77" t="str">
        <f t="shared" si="190"/>
        <v/>
      </c>
      <c r="BL37" s="78" t="str">
        <f t="shared" si="191"/>
        <v/>
      </c>
      <c r="BM37" s="78" t="str">
        <f t="shared" si="191"/>
        <v/>
      </c>
      <c r="BN37" s="78" t="str">
        <f t="shared" si="191"/>
        <v/>
      </c>
      <c r="BO37" s="78" t="str">
        <f t="shared" si="191"/>
        <v/>
      </c>
      <c r="BP37" s="78" t="str">
        <f t="shared" si="191"/>
        <v/>
      </c>
      <c r="BQ37" s="79" t="str">
        <f t="shared" si="191"/>
        <v/>
      </c>
      <c r="BR37" s="93" t="str">
        <f t="shared" si="191"/>
        <v/>
      </c>
      <c r="BS37" s="93" t="str">
        <f t="shared" si="191"/>
        <v/>
      </c>
      <c r="BT37" s="93" t="str">
        <f t="shared" si="191"/>
        <v/>
      </c>
      <c r="BU37" s="93" t="str">
        <f t="shared" si="191"/>
        <v/>
      </c>
      <c r="BV37" s="93" t="str">
        <f t="shared" si="192"/>
        <v/>
      </c>
      <c r="BW37" s="93" t="str">
        <f t="shared" si="192"/>
        <v/>
      </c>
      <c r="BX37" s="93" t="str">
        <f t="shared" si="192"/>
        <v/>
      </c>
      <c r="BY37" s="93" t="e">
        <f t="shared" si="192"/>
        <v>#REF!</v>
      </c>
      <c r="BZ37" s="93" t="e">
        <f t="shared" si="192"/>
        <v>#REF!</v>
      </c>
      <c r="CA37" s="93" t="e">
        <f t="shared" si="192"/>
        <v>#REF!</v>
      </c>
      <c r="CB37" s="93" t="e">
        <f t="shared" si="192"/>
        <v>#REF!</v>
      </c>
      <c r="CC37" s="93" t="e">
        <f t="shared" si="192"/>
        <v>#REF!</v>
      </c>
      <c r="CD37" s="102" t="e">
        <f t="shared" si="192"/>
        <v>#REF!</v>
      </c>
      <c r="CE37" s="93" t="e">
        <f t="shared" si="192"/>
        <v>#REF!</v>
      </c>
      <c r="CF37" s="93" t="e">
        <f t="shared" si="193"/>
        <v>#REF!</v>
      </c>
      <c r="CG37" s="93" t="e">
        <f t="shared" si="193"/>
        <v>#REF!</v>
      </c>
      <c r="CH37" s="104" t="e">
        <f t="shared" si="193"/>
        <v>#REF!</v>
      </c>
      <c r="CI37" s="102" t="e">
        <f t="shared" si="193"/>
        <v>#REF!</v>
      </c>
      <c r="CJ37" s="93" t="e">
        <f t="shared" si="193"/>
        <v>#REF!</v>
      </c>
      <c r="CK37" s="93" t="e">
        <f t="shared" si="193"/>
        <v>#REF!</v>
      </c>
      <c r="CL37" s="93" t="e">
        <f t="shared" si="193"/>
        <v>#REF!</v>
      </c>
      <c r="CM37" s="104" t="e">
        <f t="shared" si="193"/>
        <v>#REF!</v>
      </c>
      <c r="CN37" s="102" t="e">
        <f t="shared" si="193"/>
        <v>#REF!</v>
      </c>
      <c r="CO37" s="93" t="e">
        <f t="shared" si="193"/>
        <v>#REF!</v>
      </c>
      <c r="CP37" s="93" t="e">
        <f t="shared" si="194"/>
        <v>#REF!</v>
      </c>
      <c r="CQ37" s="93" t="e">
        <f t="shared" si="194"/>
        <v>#REF!</v>
      </c>
      <c r="CR37" s="104" t="e">
        <f t="shared" si="194"/>
        <v>#REF!</v>
      </c>
      <c r="CS37" s="102" t="e">
        <f t="shared" si="194"/>
        <v>#REF!</v>
      </c>
      <c r="CT37" s="93" t="e">
        <f t="shared" si="194"/>
        <v>#REF!</v>
      </c>
      <c r="CU37" s="93" t="e">
        <f t="shared" si="194"/>
        <v>#REF!</v>
      </c>
      <c r="CV37" s="93" t="e">
        <f t="shared" si="194"/>
        <v>#REF!</v>
      </c>
      <c r="CW37" s="104" t="e">
        <f t="shared" si="194"/>
        <v>#REF!</v>
      </c>
      <c r="CX37" s="102" t="e">
        <f t="shared" si="194"/>
        <v>#REF!</v>
      </c>
      <c r="CY37" s="93" t="e">
        <f t="shared" si="194"/>
        <v>#REF!</v>
      </c>
      <c r="CZ37" s="93" t="e">
        <f t="shared" si="195"/>
        <v>#REF!</v>
      </c>
      <c r="DA37" s="93" t="e">
        <f t="shared" si="195"/>
        <v>#REF!</v>
      </c>
      <c r="DB37" s="104" t="e">
        <f t="shared" si="195"/>
        <v>#REF!</v>
      </c>
      <c r="DC37" s="102" t="e">
        <f t="shared" si="195"/>
        <v>#REF!</v>
      </c>
      <c r="DD37" s="93" t="e">
        <f t="shared" si="195"/>
        <v>#REF!</v>
      </c>
      <c r="DE37" s="93" t="e">
        <f t="shared" si="195"/>
        <v>#REF!</v>
      </c>
      <c r="DF37" s="93" t="e">
        <f t="shared" si="195"/>
        <v>#REF!</v>
      </c>
      <c r="DG37" s="104" t="e">
        <f t="shared" si="195"/>
        <v>#REF!</v>
      </c>
      <c r="DH37" s="107"/>
      <c r="DI37" s="106"/>
    </row>
    <row r="38" spans="1:113" s="29" customFormat="1" ht="26" x14ac:dyDescent="0.25">
      <c r="A38" s="37" t="str">
        <f t="shared" si="177"/>
        <v>1.28</v>
      </c>
      <c r="B38" s="122">
        <v>202511064</v>
      </c>
      <c r="C38" s="109" t="str">
        <f>IF(C$7=-1,"",INDEX(INDEX('Project List'!$1:$1048576,0,C$7),MATCH($B38,'Project List'!$A:$A,0)))</f>
        <v>上海市区长宁愚园路699号项目接入工程</v>
      </c>
      <c r="D38" s="109" t="str">
        <f>IF(D$7=-1,"",INDEX(INDEX('Project List'!$1:$1048576,0,D$7),MATCH($B38,'Project List'!$A:$A,0)))</f>
        <v>管线</v>
      </c>
      <c r="E38" s="109" t="str">
        <f>IF(E$7=-1,"",INDEX(INDEX('Project List'!$1:$1048576,0,E$7),MATCH($B38,'Project List'!$A:$A,0)))</f>
        <v>地铁运营线路2号线静安寺车站或江苏路站至江苏路站区间</v>
      </c>
      <c r="F38" s="46">
        <f>IF(F$7=-1,"",INDEX(INDEX('Project List'!$1:$1048576,0,F$7),MATCH($B38,'Project List'!$A:$A,0)))</f>
        <v>45981</v>
      </c>
      <c r="G38" s="46">
        <f t="shared" si="202"/>
        <v>45988</v>
      </c>
      <c r="H38" s="49">
        <f t="shared" si="203"/>
        <v>1</v>
      </c>
      <c r="I38" s="47" t="s">
        <v>6</v>
      </c>
      <c r="J38" s="47" t="s">
        <v>144</v>
      </c>
      <c r="K38" s="47" t="s">
        <v>138</v>
      </c>
      <c r="L38" s="115"/>
      <c r="M38" s="48"/>
      <c r="N38" s="77" t="str">
        <f t="shared" si="186"/>
        <v/>
      </c>
      <c r="O38" s="78" t="str">
        <f t="shared" si="186"/>
        <v/>
      </c>
      <c r="P38" s="78" t="str">
        <f t="shared" si="186"/>
        <v/>
      </c>
      <c r="Q38" s="78" t="str">
        <f t="shared" si="186"/>
        <v/>
      </c>
      <c r="R38" s="78" t="str">
        <f t="shared" si="186"/>
        <v/>
      </c>
      <c r="S38" s="78" t="str">
        <f t="shared" si="186"/>
        <v/>
      </c>
      <c r="T38" s="79" t="str">
        <f t="shared" si="186"/>
        <v/>
      </c>
      <c r="U38" s="77" t="str">
        <f t="shared" si="186"/>
        <v/>
      </c>
      <c r="V38" s="78" t="str">
        <f t="shared" si="186"/>
        <v/>
      </c>
      <c r="W38" s="78" t="str">
        <f t="shared" si="186"/>
        <v/>
      </c>
      <c r="X38" s="78" t="str">
        <f t="shared" si="187"/>
        <v/>
      </c>
      <c r="Y38" s="78" t="str">
        <f t="shared" si="187"/>
        <v/>
      </c>
      <c r="Z38" s="78" t="str">
        <f t="shared" si="187"/>
        <v/>
      </c>
      <c r="AA38" s="79" t="str">
        <f t="shared" si="187"/>
        <v/>
      </c>
      <c r="AB38" s="77" t="str">
        <f t="shared" si="187"/>
        <v/>
      </c>
      <c r="AC38" s="78" t="str">
        <f t="shared" si="187"/>
        <v/>
      </c>
      <c r="AD38" s="78" t="str">
        <f t="shared" si="187"/>
        <v/>
      </c>
      <c r="AE38" s="78" t="str">
        <f t="shared" si="187"/>
        <v/>
      </c>
      <c r="AF38" s="78" t="str">
        <f t="shared" si="187"/>
        <v/>
      </c>
      <c r="AG38" s="78" t="str">
        <f t="shared" si="187"/>
        <v/>
      </c>
      <c r="AH38" s="79" t="str">
        <f t="shared" si="188"/>
        <v/>
      </c>
      <c r="AI38" s="77" t="str">
        <f t="shared" si="188"/>
        <v/>
      </c>
      <c r="AJ38" s="78" t="str">
        <f t="shared" si="188"/>
        <v/>
      </c>
      <c r="AK38" s="78" t="str">
        <f t="shared" si="188"/>
        <v/>
      </c>
      <c r="AL38" s="78" t="str">
        <f t="shared" si="188"/>
        <v/>
      </c>
      <c r="AM38" s="78" t="str">
        <f t="shared" si="188"/>
        <v/>
      </c>
      <c r="AN38" s="78" t="str">
        <f t="shared" si="188"/>
        <v/>
      </c>
      <c r="AO38" s="79" t="str">
        <f t="shared" si="188"/>
        <v/>
      </c>
      <c r="AP38" s="77" t="str">
        <f t="shared" si="188"/>
        <v/>
      </c>
      <c r="AQ38" s="78" t="str">
        <f t="shared" si="188"/>
        <v/>
      </c>
      <c r="AR38" s="78" t="str">
        <f t="shared" si="189"/>
        <v/>
      </c>
      <c r="AS38" s="78" t="str">
        <f t="shared" si="189"/>
        <v/>
      </c>
      <c r="AT38" s="78" t="str">
        <f t="shared" si="189"/>
        <v/>
      </c>
      <c r="AU38" s="78" t="str">
        <f t="shared" si="189"/>
        <v/>
      </c>
      <c r="AV38" s="79" t="str">
        <f t="shared" si="189"/>
        <v/>
      </c>
      <c r="AW38" s="77" t="str">
        <f t="shared" si="189"/>
        <v/>
      </c>
      <c r="AX38" s="78" t="str">
        <f t="shared" si="189"/>
        <v/>
      </c>
      <c r="AY38" s="78" t="str">
        <f t="shared" si="189"/>
        <v/>
      </c>
      <c r="AZ38" s="78" t="str">
        <f t="shared" si="189"/>
        <v/>
      </c>
      <c r="BA38" s="78" t="str">
        <f t="shared" si="189"/>
        <v/>
      </c>
      <c r="BB38" s="78" t="str">
        <f t="shared" si="190"/>
        <v/>
      </c>
      <c r="BC38" s="79" t="str">
        <f t="shared" si="190"/>
        <v/>
      </c>
      <c r="BD38" s="77" t="str">
        <f t="shared" si="190"/>
        <v/>
      </c>
      <c r="BE38" s="78" t="str">
        <f t="shared" si="190"/>
        <v/>
      </c>
      <c r="BF38" s="78" t="str">
        <f t="shared" si="190"/>
        <v/>
      </c>
      <c r="BG38" s="78" t="str">
        <f t="shared" si="190"/>
        <v/>
      </c>
      <c r="BH38" s="78" t="str">
        <f t="shared" si="190"/>
        <v/>
      </c>
      <c r="BI38" s="78" t="str">
        <f t="shared" si="190"/>
        <v/>
      </c>
      <c r="BJ38" s="79" t="str">
        <f t="shared" si="190"/>
        <v/>
      </c>
      <c r="BK38" s="77" t="str">
        <f t="shared" si="190"/>
        <v/>
      </c>
      <c r="BL38" s="78" t="str">
        <f t="shared" si="191"/>
        <v/>
      </c>
      <c r="BM38" s="78" t="str">
        <f t="shared" si="191"/>
        <v/>
      </c>
      <c r="BN38" s="78" t="str">
        <f t="shared" si="191"/>
        <v/>
      </c>
      <c r="BO38" s="78" t="str">
        <f t="shared" si="191"/>
        <v/>
      </c>
      <c r="BP38" s="78" t="str">
        <f t="shared" si="191"/>
        <v/>
      </c>
      <c r="BQ38" s="79" t="str">
        <f t="shared" si="191"/>
        <v/>
      </c>
      <c r="BR38" s="93" t="str">
        <f t="shared" si="191"/>
        <v/>
      </c>
      <c r="BS38" s="93" t="str">
        <f t="shared" si="191"/>
        <v/>
      </c>
      <c r="BT38" s="93" t="str">
        <f t="shared" si="191"/>
        <v/>
      </c>
      <c r="BU38" s="93" t="str">
        <f t="shared" si="191"/>
        <v/>
      </c>
      <c r="BV38" s="93" t="str">
        <f t="shared" si="192"/>
        <v/>
      </c>
      <c r="BW38" s="93" t="str">
        <f t="shared" si="192"/>
        <v/>
      </c>
      <c r="BX38" s="93" t="str">
        <f t="shared" si="192"/>
        <v/>
      </c>
      <c r="BY38" s="93" t="e">
        <f t="shared" si="192"/>
        <v>#REF!</v>
      </c>
      <c r="BZ38" s="93" t="e">
        <f t="shared" si="192"/>
        <v>#REF!</v>
      </c>
      <c r="CA38" s="93" t="e">
        <f t="shared" si="192"/>
        <v>#REF!</v>
      </c>
      <c r="CB38" s="93" t="e">
        <f t="shared" si="192"/>
        <v>#REF!</v>
      </c>
      <c r="CC38" s="93" t="e">
        <f t="shared" si="192"/>
        <v>#REF!</v>
      </c>
      <c r="CD38" s="102" t="e">
        <f t="shared" si="192"/>
        <v>#REF!</v>
      </c>
      <c r="CE38" s="93" t="e">
        <f t="shared" si="192"/>
        <v>#REF!</v>
      </c>
      <c r="CF38" s="93" t="e">
        <f t="shared" si="193"/>
        <v>#REF!</v>
      </c>
      <c r="CG38" s="93" t="e">
        <f t="shared" si="193"/>
        <v>#REF!</v>
      </c>
      <c r="CH38" s="104" t="e">
        <f t="shared" si="193"/>
        <v>#REF!</v>
      </c>
      <c r="CI38" s="102" t="e">
        <f t="shared" si="193"/>
        <v>#REF!</v>
      </c>
      <c r="CJ38" s="93" t="e">
        <f t="shared" si="193"/>
        <v>#REF!</v>
      </c>
      <c r="CK38" s="93" t="e">
        <f t="shared" si="193"/>
        <v>#REF!</v>
      </c>
      <c r="CL38" s="93" t="e">
        <f t="shared" si="193"/>
        <v>#REF!</v>
      </c>
      <c r="CM38" s="104" t="e">
        <f t="shared" si="193"/>
        <v>#REF!</v>
      </c>
      <c r="CN38" s="102" t="e">
        <f t="shared" si="193"/>
        <v>#REF!</v>
      </c>
      <c r="CO38" s="93" t="e">
        <f t="shared" si="193"/>
        <v>#REF!</v>
      </c>
      <c r="CP38" s="93" t="e">
        <f t="shared" si="194"/>
        <v>#REF!</v>
      </c>
      <c r="CQ38" s="93" t="e">
        <f t="shared" si="194"/>
        <v>#REF!</v>
      </c>
      <c r="CR38" s="104" t="e">
        <f t="shared" si="194"/>
        <v>#REF!</v>
      </c>
      <c r="CS38" s="102" t="e">
        <f t="shared" si="194"/>
        <v>#REF!</v>
      </c>
      <c r="CT38" s="93" t="e">
        <f t="shared" si="194"/>
        <v>#REF!</v>
      </c>
      <c r="CU38" s="93" t="e">
        <f t="shared" si="194"/>
        <v>#REF!</v>
      </c>
      <c r="CV38" s="93" t="e">
        <f t="shared" si="194"/>
        <v>#REF!</v>
      </c>
      <c r="CW38" s="104" t="e">
        <f t="shared" si="194"/>
        <v>#REF!</v>
      </c>
      <c r="CX38" s="102" t="e">
        <f t="shared" si="194"/>
        <v>#REF!</v>
      </c>
      <c r="CY38" s="93" t="e">
        <f t="shared" si="194"/>
        <v>#REF!</v>
      </c>
      <c r="CZ38" s="93" t="e">
        <f t="shared" si="195"/>
        <v>#REF!</v>
      </c>
      <c r="DA38" s="93" t="e">
        <f t="shared" si="195"/>
        <v>#REF!</v>
      </c>
      <c r="DB38" s="104" t="e">
        <f t="shared" si="195"/>
        <v>#REF!</v>
      </c>
      <c r="DC38" s="102" t="e">
        <f t="shared" si="195"/>
        <v>#REF!</v>
      </c>
      <c r="DD38" s="93" t="e">
        <f t="shared" si="195"/>
        <v>#REF!</v>
      </c>
      <c r="DE38" s="93" t="e">
        <f t="shared" si="195"/>
        <v>#REF!</v>
      </c>
      <c r="DF38" s="93" t="e">
        <f t="shared" si="195"/>
        <v>#REF!</v>
      </c>
      <c r="DG38" s="104" t="e">
        <f t="shared" si="195"/>
        <v>#REF!</v>
      </c>
      <c r="DH38" s="107"/>
      <c r="DI38" s="106"/>
    </row>
    <row r="39" spans="1:113" s="29" customFormat="1" ht="26" x14ac:dyDescent="0.25">
      <c r="A39" s="37" t="str">
        <f t="shared" si="177"/>
        <v>1.29</v>
      </c>
      <c r="B39" s="122">
        <v>202503068</v>
      </c>
      <c r="C39" s="109" t="str">
        <f>IF(C$7=-1,"",INDEX(INDEX('Project List'!$1:$1048576,0,C$7),MATCH($B39,'Project List'!$A:$A,0)))</f>
        <v>浦东新区张杨路城市资源回收中心项目</v>
      </c>
      <c r="D39" s="109">
        <f>IF(D$7=-1,"",INDEX(INDEX('Project List'!$1:$1048576,0,D$7),MATCH($B39,'Project List'!$A:$A,0)))</f>
        <v>0</v>
      </c>
      <c r="E39" s="109">
        <f>IF(E$7=-1,"",INDEX(INDEX('Project List'!$1:$1048576,0,E$7),MATCH($B39,'Project List'!$A:$A,0)))</f>
        <v>0</v>
      </c>
      <c r="F39" s="46">
        <f>IF(F$7=-1,"",INDEX(INDEX('Project List'!$1:$1048576,0,F$7),MATCH($B39,'Project List'!$A:$A,0)))</f>
        <v>0</v>
      </c>
      <c r="G39" s="46">
        <f t="shared" si="202"/>
        <v>7</v>
      </c>
      <c r="H39" s="49">
        <f t="shared" si="203"/>
        <v>0.3</v>
      </c>
      <c r="I39" s="47" t="s">
        <v>6</v>
      </c>
      <c r="J39" s="47" t="s">
        <v>144</v>
      </c>
      <c r="K39" s="47" t="s">
        <v>137</v>
      </c>
      <c r="L39" s="115"/>
      <c r="M39" s="48"/>
      <c r="N39" s="77" t="str">
        <f t="shared" si="186"/>
        <v/>
      </c>
      <c r="O39" s="78" t="str">
        <f t="shared" si="186"/>
        <v/>
      </c>
      <c r="P39" s="78" t="str">
        <f t="shared" si="186"/>
        <v/>
      </c>
      <c r="Q39" s="78" t="str">
        <f t="shared" si="186"/>
        <v/>
      </c>
      <c r="R39" s="78" t="str">
        <f t="shared" si="186"/>
        <v/>
      </c>
      <c r="S39" s="78" t="str">
        <f t="shared" si="186"/>
        <v/>
      </c>
      <c r="T39" s="79" t="str">
        <f t="shared" si="186"/>
        <v/>
      </c>
      <c r="U39" s="77" t="str">
        <f t="shared" si="186"/>
        <v/>
      </c>
      <c r="V39" s="78" t="str">
        <f t="shared" si="186"/>
        <v/>
      </c>
      <c r="W39" s="78" t="str">
        <f t="shared" si="186"/>
        <v/>
      </c>
      <c r="X39" s="78" t="str">
        <f t="shared" si="187"/>
        <v/>
      </c>
      <c r="Y39" s="78" t="str">
        <f t="shared" si="187"/>
        <v/>
      </c>
      <c r="Z39" s="78" t="str">
        <f t="shared" si="187"/>
        <v/>
      </c>
      <c r="AA39" s="79" t="str">
        <f t="shared" si="187"/>
        <v/>
      </c>
      <c r="AB39" s="77" t="str">
        <f t="shared" si="187"/>
        <v/>
      </c>
      <c r="AC39" s="78" t="str">
        <f t="shared" si="187"/>
        <v/>
      </c>
      <c r="AD39" s="78" t="str">
        <f t="shared" si="187"/>
        <v/>
      </c>
      <c r="AE39" s="78" t="str">
        <f t="shared" si="187"/>
        <v/>
      </c>
      <c r="AF39" s="78" t="str">
        <f t="shared" si="187"/>
        <v/>
      </c>
      <c r="AG39" s="78" t="str">
        <f t="shared" si="187"/>
        <v/>
      </c>
      <c r="AH39" s="79" t="str">
        <f t="shared" si="188"/>
        <v/>
      </c>
      <c r="AI39" s="77" t="str">
        <f t="shared" si="188"/>
        <v/>
      </c>
      <c r="AJ39" s="78" t="str">
        <f t="shared" si="188"/>
        <v/>
      </c>
      <c r="AK39" s="78" t="str">
        <f t="shared" si="188"/>
        <v/>
      </c>
      <c r="AL39" s="78" t="str">
        <f t="shared" si="188"/>
        <v/>
      </c>
      <c r="AM39" s="78" t="str">
        <f t="shared" si="188"/>
        <v/>
      </c>
      <c r="AN39" s="78" t="str">
        <f t="shared" si="188"/>
        <v/>
      </c>
      <c r="AO39" s="79" t="str">
        <f t="shared" si="188"/>
        <v/>
      </c>
      <c r="AP39" s="77" t="str">
        <f t="shared" si="188"/>
        <v/>
      </c>
      <c r="AQ39" s="78" t="str">
        <f t="shared" si="188"/>
        <v/>
      </c>
      <c r="AR39" s="78" t="str">
        <f t="shared" si="189"/>
        <v/>
      </c>
      <c r="AS39" s="78" t="str">
        <f t="shared" si="189"/>
        <v/>
      </c>
      <c r="AT39" s="78" t="str">
        <f t="shared" si="189"/>
        <v/>
      </c>
      <c r="AU39" s="78" t="str">
        <f t="shared" si="189"/>
        <v/>
      </c>
      <c r="AV39" s="79" t="str">
        <f t="shared" si="189"/>
        <v/>
      </c>
      <c r="AW39" s="77" t="str">
        <f t="shared" si="189"/>
        <v/>
      </c>
      <c r="AX39" s="78" t="str">
        <f t="shared" si="189"/>
        <v/>
      </c>
      <c r="AY39" s="78" t="str">
        <f t="shared" si="189"/>
        <v/>
      </c>
      <c r="AZ39" s="78" t="str">
        <f t="shared" si="189"/>
        <v/>
      </c>
      <c r="BA39" s="78" t="str">
        <f t="shared" si="189"/>
        <v/>
      </c>
      <c r="BB39" s="78" t="str">
        <f t="shared" si="190"/>
        <v/>
      </c>
      <c r="BC39" s="79" t="str">
        <f t="shared" si="190"/>
        <v/>
      </c>
      <c r="BD39" s="77" t="str">
        <f t="shared" si="190"/>
        <v/>
      </c>
      <c r="BE39" s="78" t="str">
        <f t="shared" si="190"/>
        <v/>
      </c>
      <c r="BF39" s="78" t="str">
        <f t="shared" si="190"/>
        <v/>
      </c>
      <c r="BG39" s="78" t="str">
        <f t="shared" si="190"/>
        <v/>
      </c>
      <c r="BH39" s="78" t="str">
        <f t="shared" si="190"/>
        <v/>
      </c>
      <c r="BI39" s="78" t="str">
        <f t="shared" si="190"/>
        <v/>
      </c>
      <c r="BJ39" s="79" t="str">
        <f t="shared" si="190"/>
        <v/>
      </c>
      <c r="BK39" s="77" t="str">
        <f t="shared" si="190"/>
        <v/>
      </c>
      <c r="BL39" s="78" t="str">
        <f t="shared" si="191"/>
        <v/>
      </c>
      <c r="BM39" s="78" t="str">
        <f t="shared" si="191"/>
        <v/>
      </c>
      <c r="BN39" s="78" t="str">
        <f t="shared" si="191"/>
        <v/>
      </c>
      <c r="BO39" s="78" t="str">
        <f t="shared" si="191"/>
        <v/>
      </c>
      <c r="BP39" s="78" t="str">
        <f t="shared" si="191"/>
        <v/>
      </c>
      <c r="BQ39" s="79" t="str">
        <f t="shared" si="191"/>
        <v/>
      </c>
      <c r="BR39" s="93" t="str">
        <f t="shared" si="191"/>
        <v/>
      </c>
      <c r="BS39" s="93" t="str">
        <f t="shared" si="191"/>
        <v/>
      </c>
      <c r="BT39" s="93" t="str">
        <f t="shared" si="191"/>
        <v/>
      </c>
      <c r="BU39" s="93" t="str">
        <f t="shared" si="191"/>
        <v/>
      </c>
      <c r="BV39" s="93" t="str">
        <f t="shared" si="192"/>
        <v/>
      </c>
      <c r="BW39" s="93" t="str">
        <f t="shared" si="192"/>
        <v/>
      </c>
      <c r="BX39" s="93" t="str">
        <f t="shared" si="192"/>
        <v/>
      </c>
      <c r="BY39" s="93" t="e">
        <f t="shared" si="192"/>
        <v>#REF!</v>
      </c>
      <c r="BZ39" s="93" t="e">
        <f t="shared" si="192"/>
        <v>#REF!</v>
      </c>
      <c r="CA39" s="93" t="e">
        <f t="shared" si="192"/>
        <v>#REF!</v>
      </c>
      <c r="CB39" s="93" t="e">
        <f t="shared" si="192"/>
        <v>#REF!</v>
      </c>
      <c r="CC39" s="93" t="e">
        <f t="shared" si="192"/>
        <v>#REF!</v>
      </c>
      <c r="CD39" s="102" t="e">
        <f t="shared" si="192"/>
        <v>#REF!</v>
      </c>
      <c r="CE39" s="93" t="e">
        <f t="shared" si="192"/>
        <v>#REF!</v>
      </c>
      <c r="CF39" s="93" t="e">
        <f t="shared" si="193"/>
        <v>#REF!</v>
      </c>
      <c r="CG39" s="93" t="e">
        <f t="shared" si="193"/>
        <v>#REF!</v>
      </c>
      <c r="CH39" s="104" t="e">
        <f t="shared" si="193"/>
        <v>#REF!</v>
      </c>
      <c r="CI39" s="102" t="e">
        <f t="shared" si="193"/>
        <v>#REF!</v>
      </c>
      <c r="CJ39" s="93" t="e">
        <f t="shared" si="193"/>
        <v>#REF!</v>
      </c>
      <c r="CK39" s="93" t="e">
        <f t="shared" si="193"/>
        <v>#REF!</v>
      </c>
      <c r="CL39" s="93" t="e">
        <f t="shared" si="193"/>
        <v>#REF!</v>
      </c>
      <c r="CM39" s="104" t="e">
        <f t="shared" si="193"/>
        <v>#REF!</v>
      </c>
      <c r="CN39" s="102" t="e">
        <f t="shared" si="193"/>
        <v>#REF!</v>
      </c>
      <c r="CO39" s="93" t="e">
        <f t="shared" si="193"/>
        <v>#REF!</v>
      </c>
      <c r="CP39" s="93" t="e">
        <f t="shared" si="194"/>
        <v>#REF!</v>
      </c>
      <c r="CQ39" s="93" t="e">
        <f t="shared" si="194"/>
        <v>#REF!</v>
      </c>
      <c r="CR39" s="104" t="e">
        <f t="shared" si="194"/>
        <v>#REF!</v>
      </c>
      <c r="CS39" s="102" t="e">
        <f t="shared" si="194"/>
        <v>#REF!</v>
      </c>
      <c r="CT39" s="93" t="e">
        <f t="shared" si="194"/>
        <v>#REF!</v>
      </c>
      <c r="CU39" s="93" t="e">
        <f t="shared" si="194"/>
        <v>#REF!</v>
      </c>
      <c r="CV39" s="93" t="e">
        <f t="shared" si="194"/>
        <v>#REF!</v>
      </c>
      <c r="CW39" s="104" t="e">
        <f t="shared" si="194"/>
        <v>#REF!</v>
      </c>
      <c r="CX39" s="102" t="e">
        <f t="shared" si="194"/>
        <v>#REF!</v>
      </c>
      <c r="CY39" s="93" t="e">
        <f t="shared" si="194"/>
        <v>#REF!</v>
      </c>
      <c r="CZ39" s="93" t="e">
        <f t="shared" si="195"/>
        <v>#REF!</v>
      </c>
      <c r="DA39" s="93" t="e">
        <f t="shared" si="195"/>
        <v>#REF!</v>
      </c>
      <c r="DB39" s="104" t="e">
        <f t="shared" si="195"/>
        <v>#REF!</v>
      </c>
      <c r="DC39" s="102" t="e">
        <f t="shared" si="195"/>
        <v>#REF!</v>
      </c>
      <c r="DD39" s="93" t="e">
        <f t="shared" si="195"/>
        <v>#REF!</v>
      </c>
      <c r="DE39" s="93" t="e">
        <f t="shared" si="195"/>
        <v>#REF!</v>
      </c>
      <c r="DF39" s="93" t="e">
        <f t="shared" si="195"/>
        <v>#REF!</v>
      </c>
      <c r="DG39" s="104" t="e">
        <f t="shared" si="195"/>
        <v>#REF!</v>
      </c>
      <c r="DH39" s="107"/>
      <c r="DI39" s="106"/>
    </row>
    <row r="40" spans="1:113" s="29" customFormat="1" ht="26" x14ac:dyDescent="0.25">
      <c r="A40" s="37" t="str">
        <f t="shared" si="177"/>
        <v>1.30</v>
      </c>
      <c r="B40" s="155">
        <v>202511028</v>
      </c>
      <c r="C40" s="109" t="str">
        <f>IF(C$7=-1,"",INDEX(INDEX('Project List'!$1:$1048576,0,C$7),MATCH($B40,'Project List'!$A:$A,0)))</f>
        <v>申江路(陇桥路-新金桥路)信息管道工程项目</v>
      </c>
      <c r="D40" s="109" t="str">
        <f>IF(D$7=-1,"",INDEX(INDEX('Project List'!$1:$1048576,0,D$7),MATCH($B40,'Project List'!$A:$A,0)))</f>
        <v>管线</v>
      </c>
      <c r="E40" s="109" t="str">
        <f>IF(E$7=-1,"",INDEX(INDEX('Project List'!$1:$1048576,0,E$7),MATCH($B40,'Project List'!$A:$A,0)))</f>
        <v>地铁运营线路9号线金桥站至金吉路站区间</v>
      </c>
      <c r="F40" s="46">
        <f>IF(F$7=-1,"",INDEX(INDEX('Project List'!$1:$1048576,0,F$7),MATCH($B40,'Project List'!$A:$A,0)))</f>
        <v>45985</v>
      </c>
      <c r="G40" s="46">
        <f t="shared" si="202"/>
        <v>45992</v>
      </c>
      <c r="H40" s="49">
        <f t="shared" si="203"/>
        <v>-1</v>
      </c>
      <c r="I40" s="47" t="s">
        <v>6</v>
      </c>
      <c r="J40" s="47" t="s">
        <v>144</v>
      </c>
      <c r="K40" s="47"/>
      <c r="L40" s="115"/>
      <c r="M40" s="48"/>
      <c r="N40" s="77" t="str">
        <f t="shared" si="186"/>
        <v/>
      </c>
      <c r="O40" s="78" t="str">
        <f t="shared" si="186"/>
        <v/>
      </c>
      <c r="P40" s="78" t="str">
        <f t="shared" si="186"/>
        <v/>
      </c>
      <c r="Q40" s="78" t="str">
        <f t="shared" si="186"/>
        <v/>
      </c>
      <c r="R40" s="78" t="str">
        <f t="shared" si="186"/>
        <v/>
      </c>
      <c r="S40" s="78" t="str">
        <f t="shared" si="186"/>
        <v/>
      </c>
      <c r="T40" s="79" t="str">
        <f t="shared" si="186"/>
        <v/>
      </c>
      <c r="U40" s="77" t="str">
        <f t="shared" si="186"/>
        <v/>
      </c>
      <c r="V40" s="78" t="str">
        <f t="shared" si="186"/>
        <v/>
      </c>
      <c r="W40" s="78" t="str">
        <f t="shared" si="186"/>
        <v/>
      </c>
      <c r="X40" s="78" t="str">
        <f t="shared" si="187"/>
        <v/>
      </c>
      <c r="Y40" s="78" t="str">
        <f t="shared" si="187"/>
        <v/>
      </c>
      <c r="Z40" s="78" t="str">
        <f t="shared" si="187"/>
        <v/>
      </c>
      <c r="AA40" s="79" t="str">
        <f t="shared" si="187"/>
        <v/>
      </c>
      <c r="AB40" s="77" t="str">
        <f t="shared" si="187"/>
        <v/>
      </c>
      <c r="AC40" s="78" t="str">
        <f t="shared" si="187"/>
        <v/>
      </c>
      <c r="AD40" s="78" t="str">
        <f t="shared" si="187"/>
        <v/>
      </c>
      <c r="AE40" s="78" t="str">
        <f t="shared" si="187"/>
        <v/>
      </c>
      <c r="AF40" s="78" t="str">
        <f t="shared" si="187"/>
        <v/>
      </c>
      <c r="AG40" s="78" t="str">
        <f t="shared" si="187"/>
        <v/>
      </c>
      <c r="AH40" s="79" t="str">
        <f t="shared" si="188"/>
        <v/>
      </c>
      <c r="AI40" s="77" t="str">
        <f t="shared" si="188"/>
        <v/>
      </c>
      <c r="AJ40" s="78" t="str">
        <f t="shared" si="188"/>
        <v/>
      </c>
      <c r="AK40" s="78" t="str">
        <f t="shared" si="188"/>
        <v/>
      </c>
      <c r="AL40" s="78" t="str">
        <f t="shared" si="188"/>
        <v/>
      </c>
      <c r="AM40" s="78" t="str">
        <f t="shared" si="188"/>
        <v/>
      </c>
      <c r="AN40" s="78" t="str">
        <f t="shared" si="188"/>
        <v/>
      </c>
      <c r="AO40" s="79" t="str">
        <f t="shared" si="188"/>
        <v/>
      </c>
      <c r="AP40" s="77" t="str">
        <f t="shared" si="188"/>
        <v/>
      </c>
      <c r="AQ40" s="78" t="str">
        <f t="shared" si="188"/>
        <v/>
      </c>
      <c r="AR40" s="78" t="str">
        <f t="shared" si="189"/>
        <v/>
      </c>
      <c r="AS40" s="78" t="str">
        <f t="shared" si="189"/>
        <v/>
      </c>
      <c r="AT40" s="78" t="str">
        <f t="shared" si="189"/>
        <v/>
      </c>
      <c r="AU40" s="78" t="str">
        <f t="shared" si="189"/>
        <v/>
      </c>
      <c r="AV40" s="79" t="str">
        <f t="shared" si="189"/>
        <v/>
      </c>
      <c r="AW40" s="77" t="str">
        <f t="shared" si="189"/>
        <v/>
      </c>
      <c r="AX40" s="78" t="str">
        <f t="shared" si="189"/>
        <v/>
      </c>
      <c r="AY40" s="78" t="str">
        <f t="shared" si="189"/>
        <v/>
      </c>
      <c r="AZ40" s="78" t="str">
        <f t="shared" si="189"/>
        <v/>
      </c>
      <c r="BA40" s="78" t="str">
        <f t="shared" si="189"/>
        <v/>
      </c>
      <c r="BB40" s="78" t="str">
        <f t="shared" si="190"/>
        <v/>
      </c>
      <c r="BC40" s="79" t="str">
        <f t="shared" si="190"/>
        <v/>
      </c>
      <c r="BD40" s="77" t="str">
        <f t="shared" si="190"/>
        <v/>
      </c>
      <c r="BE40" s="78" t="str">
        <f t="shared" si="190"/>
        <v/>
      </c>
      <c r="BF40" s="78" t="str">
        <f t="shared" si="190"/>
        <v/>
      </c>
      <c r="BG40" s="78" t="str">
        <f t="shared" si="190"/>
        <v/>
      </c>
      <c r="BH40" s="78" t="str">
        <f t="shared" si="190"/>
        <v/>
      </c>
      <c r="BI40" s="78" t="str">
        <f t="shared" si="190"/>
        <v/>
      </c>
      <c r="BJ40" s="79" t="str">
        <f t="shared" si="190"/>
        <v/>
      </c>
      <c r="BK40" s="77" t="str">
        <f t="shared" si="190"/>
        <v/>
      </c>
      <c r="BL40" s="78" t="str">
        <f t="shared" si="191"/>
        <v/>
      </c>
      <c r="BM40" s="78" t="str">
        <f t="shared" si="191"/>
        <v/>
      </c>
      <c r="BN40" s="78" t="str">
        <f t="shared" si="191"/>
        <v/>
      </c>
      <c r="BO40" s="78" t="str">
        <f t="shared" si="191"/>
        <v/>
      </c>
      <c r="BP40" s="78" t="str">
        <f t="shared" si="191"/>
        <v/>
      </c>
      <c r="BQ40" s="79" t="str">
        <f t="shared" si="191"/>
        <v/>
      </c>
      <c r="BR40" s="93" t="str">
        <f t="shared" si="191"/>
        <v/>
      </c>
      <c r="BS40" s="93" t="str">
        <f t="shared" si="191"/>
        <v/>
      </c>
      <c r="BT40" s="93" t="str">
        <f t="shared" si="191"/>
        <v/>
      </c>
      <c r="BU40" s="93" t="str">
        <f t="shared" si="191"/>
        <v/>
      </c>
      <c r="BV40" s="93" t="str">
        <f t="shared" si="192"/>
        <v/>
      </c>
      <c r="BW40" s="93" t="str">
        <f t="shared" si="192"/>
        <v/>
      </c>
      <c r="BX40" s="93" t="str">
        <f t="shared" si="192"/>
        <v/>
      </c>
      <c r="BY40" s="93" t="e">
        <f t="shared" si="192"/>
        <v>#REF!</v>
      </c>
      <c r="BZ40" s="93" t="e">
        <f t="shared" si="192"/>
        <v>#REF!</v>
      </c>
      <c r="CA40" s="93" t="e">
        <f t="shared" si="192"/>
        <v>#REF!</v>
      </c>
      <c r="CB40" s="93" t="e">
        <f t="shared" si="192"/>
        <v>#REF!</v>
      </c>
      <c r="CC40" s="93" t="e">
        <f t="shared" si="192"/>
        <v>#REF!</v>
      </c>
      <c r="CD40" s="102" t="e">
        <f t="shared" si="192"/>
        <v>#REF!</v>
      </c>
      <c r="CE40" s="93" t="e">
        <f t="shared" si="192"/>
        <v>#REF!</v>
      </c>
      <c r="CF40" s="93" t="e">
        <f t="shared" si="193"/>
        <v>#REF!</v>
      </c>
      <c r="CG40" s="93" t="e">
        <f t="shared" si="193"/>
        <v>#REF!</v>
      </c>
      <c r="CH40" s="104" t="e">
        <f t="shared" si="193"/>
        <v>#REF!</v>
      </c>
      <c r="CI40" s="102" t="e">
        <f t="shared" si="193"/>
        <v>#REF!</v>
      </c>
      <c r="CJ40" s="93" t="e">
        <f t="shared" si="193"/>
        <v>#REF!</v>
      </c>
      <c r="CK40" s="93" t="e">
        <f t="shared" si="193"/>
        <v>#REF!</v>
      </c>
      <c r="CL40" s="93" t="e">
        <f t="shared" si="193"/>
        <v>#REF!</v>
      </c>
      <c r="CM40" s="104" t="e">
        <f t="shared" si="193"/>
        <v>#REF!</v>
      </c>
      <c r="CN40" s="102" t="e">
        <f t="shared" si="193"/>
        <v>#REF!</v>
      </c>
      <c r="CO40" s="93" t="e">
        <f t="shared" si="193"/>
        <v>#REF!</v>
      </c>
      <c r="CP40" s="93" t="e">
        <f t="shared" si="194"/>
        <v>#REF!</v>
      </c>
      <c r="CQ40" s="93" t="e">
        <f t="shared" si="194"/>
        <v>#REF!</v>
      </c>
      <c r="CR40" s="104" t="e">
        <f t="shared" si="194"/>
        <v>#REF!</v>
      </c>
      <c r="CS40" s="102" t="e">
        <f t="shared" si="194"/>
        <v>#REF!</v>
      </c>
      <c r="CT40" s="93" t="e">
        <f t="shared" si="194"/>
        <v>#REF!</v>
      </c>
      <c r="CU40" s="93" t="e">
        <f t="shared" si="194"/>
        <v>#REF!</v>
      </c>
      <c r="CV40" s="93" t="e">
        <f t="shared" si="194"/>
        <v>#REF!</v>
      </c>
      <c r="CW40" s="104" t="e">
        <f t="shared" si="194"/>
        <v>#REF!</v>
      </c>
      <c r="CX40" s="102" t="e">
        <f t="shared" si="194"/>
        <v>#REF!</v>
      </c>
      <c r="CY40" s="93" t="e">
        <f t="shared" si="194"/>
        <v>#REF!</v>
      </c>
      <c r="CZ40" s="93" t="e">
        <f t="shared" si="195"/>
        <v>#REF!</v>
      </c>
      <c r="DA40" s="93" t="e">
        <f t="shared" si="195"/>
        <v>#REF!</v>
      </c>
      <c r="DB40" s="104" t="e">
        <f t="shared" si="195"/>
        <v>#REF!</v>
      </c>
      <c r="DC40" s="102" t="e">
        <f t="shared" si="195"/>
        <v>#REF!</v>
      </c>
      <c r="DD40" s="93" t="e">
        <f t="shared" si="195"/>
        <v>#REF!</v>
      </c>
      <c r="DE40" s="93" t="e">
        <f t="shared" si="195"/>
        <v>#REF!</v>
      </c>
      <c r="DF40" s="93" t="e">
        <f t="shared" si="195"/>
        <v>#REF!</v>
      </c>
      <c r="DG40" s="104" t="e">
        <f t="shared" si="195"/>
        <v>#REF!</v>
      </c>
      <c r="DH40" s="107"/>
      <c r="DI40" s="106"/>
    </row>
    <row r="41" spans="1:113" s="29" customFormat="1" ht="26" x14ac:dyDescent="0.25">
      <c r="A41" s="37" t="str">
        <f t="shared" si="177"/>
        <v>1.31</v>
      </c>
      <c r="B41" s="155">
        <v>20251102901</v>
      </c>
      <c r="C41" s="109" t="str">
        <f>IF(C$7=-1,"",INDEX(INDEX('Project List'!$1:$1048576,0,C$7),MATCH($B41,'Project List'!$A:$A,0)))</f>
        <v>申江路(新金桥路-电台路)信息管道工程项目</v>
      </c>
      <c r="D41" s="109" t="str">
        <f>IF(D$7=-1,"",INDEX(INDEX('Project List'!$1:$1048576,0,D$7),MATCH($B41,'Project List'!$A:$A,0)))</f>
        <v>管线</v>
      </c>
      <c r="E41" s="109" t="str">
        <f>IF(E$7=-1,"",INDEX(INDEX('Project List'!$1:$1048576,0,E$7),MATCH($B41,'Project List'!$A:$A,0)))</f>
        <v>地铁运营线路14号线浦东足球场站站至金粤路站区间</v>
      </c>
      <c r="F41" s="46">
        <f>IF(F$7=-1,"",INDEX(INDEX('Project List'!$1:$1048576,0,F$7),MATCH($B41,'Project List'!$A:$A,0)))</f>
        <v>45985</v>
      </c>
      <c r="G41" s="46">
        <f t="shared" si="202"/>
        <v>45992</v>
      </c>
      <c r="H41" s="49">
        <f t="shared" si="203"/>
        <v>-1</v>
      </c>
      <c r="I41" s="47" t="s">
        <v>6</v>
      </c>
      <c r="J41" s="47" t="s">
        <v>144</v>
      </c>
      <c r="K41" s="47"/>
      <c r="L41" s="115"/>
      <c r="M41" s="48"/>
      <c r="N41" s="77" t="str">
        <f t="shared" si="186"/>
        <v/>
      </c>
      <c r="O41" s="78" t="str">
        <f t="shared" si="186"/>
        <v/>
      </c>
      <c r="P41" s="78" t="str">
        <f t="shared" si="186"/>
        <v/>
      </c>
      <c r="Q41" s="78" t="str">
        <f t="shared" si="186"/>
        <v/>
      </c>
      <c r="R41" s="78" t="str">
        <f t="shared" si="186"/>
        <v/>
      </c>
      <c r="S41" s="78" t="str">
        <f t="shared" si="186"/>
        <v/>
      </c>
      <c r="T41" s="79" t="str">
        <f t="shared" si="186"/>
        <v/>
      </c>
      <c r="U41" s="77" t="str">
        <f t="shared" si="186"/>
        <v/>
      </c>
      <c r="V41" s="78" t="str">
        <f t="shared" si="186"/>
        <v/>
      </c>
      <c r="W41" s="78" t="str">
        <f t="shared" si="186"/>
        <v/>
      </c>
      <c r="X41" s="78" t="str">
        <f t="shared" si="187"/>
        <v/>
      </c>
      <c r="Y41" s="78" t="str">
        <f t="shared" si="187"/>
        <v/>
      </c>
      <c r="Z41" s="78" t="str">
        <f t="shared" si="187"/>
        <v/>
      </c>
      <c r="AA41" s="79" t="str">
        <f t="shared" si="187"/>
        <v/>
      </c>
      <c r="AB41" s="77" t="str">
        <f t="shared" si="187"/>
        <v/>
      </c>
      <c r="AC41" s="78" t="str">
        <f t="shared" si="187"/>
        <v/>
      </c>
      <c r="AD41" s="78" t="str">
        <f t="shared" si="187"/>
        <v/>
      </c>
      <c r="AE41" s="78" t="str">
        <f t="shared" si="187"/>
        <v/>
      </c>
      <c r="AF41" s="78" t="str">
        <f t="shared" si="187"/>
        <v/>
      </c>
      <c r="AG41" s="78" t="str">
        <f t="shared" si="187"/>
        <v/>
      </c>
      <c r="AH41" s="79" t="str">
        <f t="shared" si="188"/>
        <v/>
      </c>
      <c r="AI41" s="77" t="str">
        <f t="shared" si="188"/>
        <v/>
      </c>
      <c r="AJ41" s="78" t="str">
        <f t="shared" si="188"/>
        <v/>
      </c>
      <c r="AK41" s="78" t="str">
        <f t="shared" si="188"/>
        <v/>
      </c>
      <c r="AL41" s="78" t="str">
        <f t="shared" si="188"/>
        <v/>
      </c>
      <c r="AM41" s="78" t="str">
        <f t="shared" si="188"/>
        <v/>
      </c>
      <c r="AN41" s="78" t="str">
        <f t="shared" si="188"/>
        <v/>
      </c>
      <c r="AO41" s="79" t="str">
        <f t="shared" si="188"/>
        <v/>
      </c>
      <c r="AP41" s="77" t="str">
        <f t="shared" si="188"/>
        <v/>
      </c>
      <c r="AQ41" s="78" t="str">
        <f t="shared" si="188"/>
        <v/>
      </c>
      <c r="AR41" s="78" t="str">
        <f t="shared" si="189"/>
        <v/>
      </c>
      <c r="AS41" s="78" t="str">
        <f t="shared" si="189"/>
        <v/>
      </c>
      <c r="AT41" s="78" t="str">
        <f t="shared" si="189"/>
        <v/>
      </c>
      <c r="AU41" s="78" t="str">
        <f t="shared" si="189"/>
        <v/>
      </c>
      <c r="AV41" s="79" t="str">
        <f t="shared" si="189"/>
        <v/>
      </c>
      <c r="AW41" s="77" t="str">
        <f t="shared" si="189"/>
        <v/>
      </c>
      <c r="AX41" s="78" t="str">
        <f t="shared" si="189"/>
        <v/>
      </c>
      <c r="AY41" s="78" t="str">
        <f t="shared" si="189"/>
        <v/>
      </c>
      <c r="AZ41" s="78" t="str">
        <f t="shared" si="189"/>
        <v/>
      </c>
      <c r="BA41" s="78" t="str">
        <f t="shared" si="189"/>
        <v/>
      </c>
      <c r="BB41" s="78" t="str">
        <f t="shared" si="190"/>
        <v/>
      </c>
      <c r="BC41" s="79" t="str">
        <f t="shared" si="190"/>
        <v/>
      </c>
      <c r="BD41" s="77" t="str">
        <f t="shared" si="190"/>
        <v/>
      </c>
      <c r="BE41" s="78" t="str">
        <f t="shared" si="190"/>
        <v/>
      </c>
      <c r="BF41" s="78" t="str">
        <f t="shared" si="190"/>
        <v/>
      </c>
      <c r="BG41" s="78" t="str">
        <f t="shared" si="190"/>
        <v/>
      </c>
      <c r="BH41" s="78" t="str">
        <f t="shared" si="190"/>
        <v/>
      </c>
      <c r="BI41" s="78" t="str">
        <f t="shared" si="190"/>
        <v/>
      </c>
      <c r="BJ41" s="79" t="str">
        <f t="shared" si="190"/>
        <v/>
      </c>
      <c r="BK41" s="77" t="str">
        <f t="shared" si="190"/>
        <v/>
      </c>
      <c r="BL41" s="78" t="str">
        <f t="shared" si="191"/>
        <v/>
      </c>
      <c r="BM41" s="78" t="str">
        <f t="shared" si="191"/>
        <v/>
      </c>
      <c r="BN41" s="78" t="str">
        <f t="shared" si="191"/>
        <v/>
      </c>
      <c r="BO41" s="78" t="str">
        <f t="shared" si="191"/>
        <v/>
      </c>
      <c r="BP41" s="78" t="str">
        <f t="shared" si="191"/>
        <v/>
      </c>
      <c r="BQ41" s="79" t="str">
        <f t="shared" si="191"/>
        <v/>
      </c>
      <c r="BR41" s="93" t="str">
        <f t="shared" si="191"/>
        <v/>
      </c>
      <c r="BS41" s="93" t="str">
        <f t="shared" si="191"/>
        <v/>
      </c>
      <c r="BT41" s="93" t="str">
        <f t="shared" si="191"/>
        <v/>
      </c>
      <c r="BU41" s="93" t="str">
        <f t="shared" si="191"/>
        <v/>
      </c>
      <c r="BV41" s="93" t="str">
        <f t="shared" si="192"/>
        <v/>
      </c>
      <c r="BW41" s="93" t="str">
        <f t="shared" si="192"/>
        <v/>
      </c>
      <c r="BX41" s="93" t="str">
        <f t="shared" si="192"/>
        <v/>
      </c>
      <c r="BY41" s="93" t="e">
        <f t="shared" si="192"/>
        <v>#REF!</v>
      </c>
      <c r="BZ41" s="93" t="e">
        <f t="shared" si="192"/>
        <v>#REF!</v>
      </c>
      <c r="CA41" s="93" t="e">
        <f t="shared" si="192"/>
        <v>#REF!</v>
      </c>
      <c r="CB41" s="93" t="e">
        <f t="shared" si="192"/>
        <v>#REF!</v>
      </c>
      <c r="CC41" s="93" t="e">
        <f t="shared" si="192"/>
        <v>#REF!</v>
      </c>
      <c r="CD41" s="102" t="e">
        <f t="shared" si="192"/>
        <v>#REF!</v>
      </c>
      <c r="CE41" s="93" t="e">
        <f t="shared" si="192"/>
        <v>#REF!</v>
      </c>
      <c r="CF41" s="93" t="e">
        <f t="shared" si="193"/>
        <v>#REF!</v>
      </c>
      <c r="CG41" s="93" t="e">
        <f t="shared" si="193"/>
        <v>#REF!</v>
      </c>
      <c r="CH41" s="104" t="e">
        <f t="shared" si="193"/>
        <v>#REF!</v>
      </c>
      <c r="CI41" s="102" t="e">
        <f t="shared" si="193"/>
        <v>#REF!</v>
      </c>
      <c r="CJ41" s="93" t="e">
        <f t="shared" si="193"/>
        <v>#REF!</v>
      </c>
      <c r="CK41" s="93" t="e">
        <f t="shared" si="193"/>
        <v>#REF!</v>
      </c>
      <c r="CL41" s="93" t="e">
        <f t="shared" si="193"/>
        <v>#REF!</v>
      </c>
      <c r="CM41" s="104" t="e">
        <f t="shared" si="193"/>
        <v>#REF!</v>
      </c>
      <c r="CN41" s="102" t="e">
        <f t="shared" si="193"/>
        <v>#REF!</v>
      </c>
      <c r="CO41" s="93" t="e">
        <f t="shared" si="193"/>
        <v>#REF!</v>
      </c>
      <c r="CP41" s="93" t="e">
        <f t="shared" si="194"/>
        <v>#REF!</v>
      </c>
      <c r="CQ41" s="93" t="e">
        <f t="shared" si="194"/>
        <v>#REF!</v>
      </c>
      <c r="CR41" s="104" t="e">
        <f t="shared" si="194"/>
        <v>#REF!</v>
      </c>
      <c r="CS41" s="102" t="e">
        <f t="shared" si="194"/>
        <v>#REF!</v>
      </c>
      <c r="CT41" s="93" t="e">
        <f t="shared" si="194"/>
        <v>#REF!</v>
      </c>
      <c r="CU41" s="93" t="e">
        <f t="shared" si="194"/>
        <v>#REF!</v>
      </c>
      <c r="CV41" s="93" t="e">
        <f t="shared" si="194"/>
        <v>#REF!</v>
      </c>
      <c r="CW41" s="104" t="e">
        <f t="shared" si="194"/>
        <v>#REF!</v>
      </c>
      <c r="CX41" s="102" t="e">
        <f t="shared" si="194"/>
        <v>#REF!</v>
      </c>
      <c r="CY41" s="93" t="e">
        <f t="shared" si="194"/>
        <v>#REF!</v>
      </c>
      <c r="CZ41" s="93" t="e">
        <f t="shared" si="195"/>
        <v>#REF!</v>
      </c>
      <c r="DA41" s="93" t="e">
        <f t="shared" si="195"/>
        <v>#REF!</v>
      </c>
      <c r="DB41" s="104" t="e">
        <f t="shared" si="195"/>
        <v>#REF!</v>
      </c>
      <c r="DC41" s="102" t="e">
        <f t="shared" si="195"/>
        <v>#REF!</v>
      </c>
      <c r="DD41" s="93" t="e">
        <f t="shared" si="195"/>
        <v>#REF!</v>
      </c>
      <c r="DE41" s="93" t="e">
        <f t="shared" si="195"/>
        <v>#REF!</v>
      </c>
      <c r="DF41" s="93" t="e">
        <f t="shared" si="195"/>
        <v>#REF!</v>
      </c>
      <c r="DG41" s="104" t="e">
        <f t="shared" si="195"/>
        <v>#REF!</v>
      </c>
      <c r="DH41" s="107"/>
      <c r="DI41" s="106"/>
    </row>
    <row r="42" spans="1:113" s="29" customFormat="1" ht="17.5" x14ac:dyDescent="0.25">
      <c r="A42" s="37" t="str">
        <f t="shared" si="177"/>
        <v>1.32</v>
      </c>
      <c r="B42" s="122"/>
      <c r="C42" s="109" t="e">
        <f>IF(C$7=-1,"",INDEX(INDEX('Project List'!$1:$1048576,0,C$7),MATCH($B42,'Project List'!$A:$A,0)))</f>
        <v>#N/A</v>
      </c>
      <c r="D42" s="109" t="e">
        <f>IF(D$7=-1,"",INDEX(INDEX('Project List'!$1:$1048576,0,D$7),MATCH($B42,'Project List'!$A:$A,0)))</f>
        <v>#N/A</v>
      </c>
      <c r="E42" s="109" t="e">
        <f>IF(E$7=-1,"",INDEX(INDEX('Project List'!$1:$1048576,0,E$7),MATCH($B42,'Project List'!$A:$A,0)))</f>
        <v>#N/A</v>
      </c>
      <c r="F42" s="46" t="e">
        <f>IF(F$7=-1,"",INDEX(INDEX('Project List'!$1:$1048576,0,F$7),MATCH($B42,'Project List'!$A:$A,0)))</f>
        <v>#N/A</v>
      </c>
      <c r="G42" s="46" t="e">
        <f t="shared" si="198"/>
        <v>#N/A</v>
      </c>
      <c r="H42" s="49">
        <f t="shared" si="199"/>
        <v>-1</v>
      </c>
      <c r="I42" s="47" t="s">
        <v>6</v>
      </c>
      <c r="J42" s="47"/>
      <c r="K42" s="47"/>
      <c r="L42" s="115"/>
      <c r="M42" s="48"/>
      <c r="N42" s="77" t="str">
        <f t="shared" si="186"/>
        <v/>
      </c>
      <c r="O42" s="78" t="str">
        <f t="shared" si="186"/>
        <v/>
      </c>
      <c r="P42" s="78" t="str">
        <f t="shared" si="186"/>
        <v/>
      </c>
      <c r="Q42" s="78" t="str">
        <f t="shared" si="186"/>
        <v/>
      </c>
      <c r="R42" s="78" t="str">
        <f t="shared" si="186"/>
        <v/>
      </c>
      <c r="S42" s="78" t="str">
        <f t="shared" si="186"/>
        <v/>
      </c>
      <c r="T42" s="79" t="str">
        <f t="shared" si="186"/>
        <v/>
      </c>
      <c r="U42" s="77" t="str">
        <f t="shared" si="186"/>
        <v/>
      </c>
      <c r="V42" s="78" t="str">
        <f t="shared" si="186"/>
        <v/>
      </c>
      <c r="W42" s="78" t="str">
        <f t="shared" si="186"/>
        <v/>
      </c>
      <c r="X42" s="78" t="str">
        <f t="shared" si="187"/>
        <v/>
      </c>
      <c r="Y42" s="78" t="str">
        <f t="shared" si="187"/>
        <v/>
      </c>
      <c r="Z42" s="78" t="str">
        <f t="shared" si="187"/>
        <v/>
      </c>
      <c r="AA42" s="79" t="str">
        <f t="shared" si="187"/>
        <v/>
      </c>
      <c r="AB42" s="77" t="str">
        <f t="shared" si="187"/>
        <v/>
      </c>
      <c r="AC42" s="78" t="str">
        <f t="shared" si="187"/>
        <v/>
      </c>
      <c r="AD42" s="78" t="str">
        <f t="shared" si="187"/>
        <v/>
      </c>
      <c r="AE42" s="78" t="str">
        <f t="shared" si="187"/>
        <v/>
      </c>
      <c r="AF42" s="78" t="str">
        <f t="shared" si="187"/>
        <v/>
      </c>
      <c r="AG42" s="78" t="str">
        <f t="shared" si="187"/>
        <v/>
      </c>
      <c r="AH42" s="79" t="str">
        <f t="shared" si="188"/>
        <v/>
      </c>
      <c r="AI42" s="77" t="str">
        <f t="shared" si="188"/>
        <v/>
      </c>
      <c r="AJ42" s="78" t="str">
        <f t="shared" si="188"/>
        <v/>
      </c>
      <c r="AK42" s="78" t="str">
        <f t="shared" si="188"/>
        <v/>
      </c>
      <c r="AL42" s="78" t="str">
        <f t="shared" si="188"/>
        <v/>
      </c>
      <c r="AM42" s="78" t="str">
        <f t="shared" si="188"/>
        <v/>
      </c>
      <c r="AN42" s="78" t="str">
        <f t="shared" si="188"/>
        <v/>
      </c>
      <c r="AO42" s="79" t="str">
        <f t="shared" si="188"/>
        <v/>
      </c>
      <c r="AP42" s="77" t="str">
        <f t="shared" si="188"/>
        <v/>
      </c>
      <c r="AQ42" s="78" t="str">
        <f t="shared" si="188"/>
        <v/>
      </c>
      <c r="AR42" s="78" t="str">
        <f t="shared" si="189"/>
        <v/>
      </c>
      <c r="AS42" s="78" t="str">
        <f t="shared" si="189"/>
        <v/>
      </c>
      <c r="AT42" s="78" t="str">
        <f t="shared" si="189"/>
        <v/>
      </c>
      <c r="AU42" s="78" t="str">
        <f t="shared" si="189"/>
        <v/>
      </c>
      <c r="AV42" s="79" t="str">
        <f t="shared" si="189"/>
        <v/>
      </c>
      <c r="AW42" s="77" t="str">
        <f t="shared" si="189"/>
        <v/>
      </c>
      <c r="AX42" s="78" t="str">
        <f t="shared" si="189"/>
        <v/>
      </c>
      <c r="AY42" s="78" t="str">
        <f t="shared" si="189"/>
        <v/>
      </c>
      <c r="AZ42" s="78" t="str">
        <f t="shared" si="189"/>
        <v/>
      </c>
      <c r="BA42" s="78" t="str">
        <f t="shared" si="189"/>
        <v/>
      </c>
      <c r="BB42" s="78" t="str">
        <f t="shared" si="190"/>
        <v/>
      </c>
      <c r="BC42" s="79" t="str">
        <f t="shared" si="190"/>
        <v/>
      </c>
      <c r="BD42" s="77" t="str">
        <f t="shared" si="190"/>
        <v/>
      </c>
      <c r="BE42" s="78" t="str">
        <f t="shared" si="190"/>
        <v/>
      </c>
      <c r="BF42" s="78" t="str">
        <f t="shared" si="190"/>
        <v/>
      </c>
      <c r="BG42" s="78" t="str">
        <f t="shared" si="190"/>
        <v/>
      </c>
      <c r="BH42" s="78" t="str">
        <f t="shared" si="190"/>
        <v/>
      </c>
      <c r="BI42" s="78" t="str">
        <f t="shared" si="190"/>
        <v/>
      </c>
      <c r="BJ42" s="79" t="str">
        <f t="shared" si="190"/>
        <v/>
      </c>
      <c r="BK42" s="77" t="str">
        <f t="shared" si="190"/>
        <v/>
      </c>
      <c r="BL42" s="78" t="str">
        <f t="shared" si="191"/>
        <v/>
      </c>
      <c r="BM42" s="78" t="str">
        <f t="shared" si="191"/>
        <v/>
      </c>
      <c r="BN42" s="78" t="str">
        <f t="shared" si="191"/>
        <v/>
      </c>
      <c r="BO42" s="78" t="str">
        <f t="shared" si="191"/>
        <v/>
      </c>
      <c r="BP42" s="78" t="str">
        <f t="shared" si="191"/>
        <v/>
      </c>
      <c r="BQ42" s="79" t="str">
        <f t="shared" si="191"/>
        <v/>
      </c>
      <c r="BR42" s="93" t="str">
        <f t="shared" si="191"/>
        <v/>
      </c>
      <c r="BS42" s="93" t="str">
        <f t="shared" si="191"/>
        <v/>
      </c>
      <c r="BT42" s="93" t="str">
        <f t="shared" si="191"/>
        <v/>
      </c>
      <c r="BU42" s="93" t="str">
        <f t="shared" si="191"/>
        <v/>
      </c>
      <c r="BV42" s="93" t="str">
        <f t="shared" si="192"/>
        <v/>
      </c>
      <c r="BW42" s="93" t="str">
        <f t="shared" si="192"/>
        <v/>
      </c>
      <c r="BX42" s="93" t="str">
        <f t="shared" si="192"/>
        <v/>
      </c>
      <c r="BY42" s="93" t="e">
        <f t="shared" si="192"/>
        <v>#REF!</v>
      </c>
      <c r="BZ42" s="93" t="e">
        <f t="shared" si="192"/>
        <v>#REF!</v>
      </c>
      <c r="CA42" s="93" t="e">
        <f t="shared" si="192"/>
        <v>#REF!</v>
      </c>
      <c r="CB42" s="93" t="e">
        <f t="shared" si="192"/>
        <v>#REF!</v>
      </c>
      <c r="CC42" s="93" t="e">
        <f t="shared" si="192"/>
        <v>#REF!</v>
      </c>
      <c r="CD42" s="102" t="e">
        <f t="shared" si="192"/>
        <v>#REF!</v>
      </c>
      <c r="CE42" s="93" t="e">
        <f t="shared" si="192"/>
        <v>#REF!</v>
      </c>
      <c r="CF42" s="93" t="e">
        <f t="shared" si="193"/>
        <v>#REF!</v>
      </c>
      <c r="CG42" s="93" t="e">
        <f t="shared" si="193"/>
        <v>#REF!</v>
      </c>
      <c r="CH42" s="104" t="e">
        <f t="shared" si="193"/>
        <v>#REF!</v>
      </c>
      <c r="CI42" s="102" t="e">
        <f t="shared" si="193"/>
        <v>#REF!</v>
      </c>
      <c r="CJ42" s="93" t="e">
        <f t="shared" si="193"/>
        <v>#REF!</v>
      </c>
      <c r="CK42" s="93" t="e">
        <f t="shared" si="193"/>
        <v>#REF!</v>
      </c>
      <c r="CL42" s="93" t="e">
        <f t="shared" si="193"/>
        <v>#REF!</v>
      </c>
      <c r="CM42" s="104" t="e">
        <f t="shared" si="193"/>
        <v>#REF!</v>
      </c>
      <c r="CN42" s="102" t="e">
        <f t="shared" si="193"/>
        <v>#REF!</v>
      </c>
      <c r="CO42" s="93" t="e">
        <f t="shared" si="193"/>
        <v>#REF!</v>
      </c>
      <c r="CP42" s="93" t="e">
        <f t="shared" si="194"/>
        <v>#REF!</v>
      </c>
      <c r="CQ42" s="93" t="e">
        <f t="shared" si="194"/>
        <v>#REF!</v>
      </c>
      <c r="CR42" s="104" t="e">
        <f t="shared" si="194"/>
        <v>#REF!</v>
      </c>
      <c r="CS42" s="102" t="e">
        <f t="shared" si="194"/>
        <v>#REF!</v>
      </c>
      <c r="CT42" s="93" t="e">
        <f t="shared" si="194"/>
        <v>#REF!</v>
      </c>
      <c r="CU42" s="93" t="e">
        <f t="shared" si="194"/>
        <v>#REF!</v>
      </c>
      <c r="CV42" s="93" t="e">
        <f t="shared" si="194"/>
        <v>#REF!</v>
      </c>
      <c r="CW42" s="104" t="e">
        <f t="shared" si="194"/>
        <v>#REF!</v>
      </c>
      <c r="CX42" s="102" t="e">
        <f t="shared" si="194"/>
        <v>#REF!</v>
      </c>
      <c r="CY42" s="93" t="e">
        <f t="shared" si="194"/>
        <v>#REF!</v>
      </c>
      <c r="CZ42" s="93" t="e">
        <f t="shared" si="195"/>
        <v>#REF!</v>
      </c>
      <c r="DA42" s="93" t="e">
        <f t="shared" si="195"/>
        <v>#REF!</v>
      </c>
      <c r="DB42" s="104" t="e">
        <f t="shared" si="195"/>
        <v>#REF!</v>
      </c>
      <c r="DC42" s="102" t="e">
        <f t="shared" si="195"/>
        <v>#REF!</v>
      </c>
      <c r="DD42" s="93" t="e">
        <f t="shared" si="195"/>
        <v>#REF!</v>
      </c>
      <c r="DE42" s="93" t="e">
        <f t="shared" si="195"/>
        <v>#REF!</v>
      </c>
      <c r="DF42" s="93" t="e">
        <f t="shared" si="195"/>
        <v>#REF!</v>
      </c>
      <c r="DG42" s="104" t="e">
        <f t="shared" si="195"/>
        <v>#REF!</v>
      </c>
      <c r="DH42" s="107"/>
      <c r="DI42" s="106"/>
    </row>
    <row r="43" spans="1:113" s="29" customFormat="1" ht="18" thickBot="1" x14ac:dyDescent="0.3">
      <c r="A43" s="37" t="str">
        <f t="shared" si="177"/>
        <v>1.33</v>
      </c>
      <c r="B43" s="109"/>
      <c r="C43" s="109"/>
      <c r="D43" s="108"/>
      <c r="E43" s="108"/>
      <c r="F43" s="46"/>
      <c r="G43" s="46"/>
      <c r="H43" s="49"/>
      <c r="I43" s="47"/>
      <c r="J43" s="47"/>
      <c r="K43" s="47"/>
      <c r="L43" s="115"/>
      <c r="M43" s="48"/>
      <c r="N43" s="77"/>
      <c r="O43" s="78"/>
      <c r="P43" s="78"/>
      <c r="Q43" s="78"/>
      <c r="R43" s="78"/>
      <c r="S43" s="78"/>
      <c r="T43" s="79"/>
      <c r="U43" s="77"/>
      <c r="V43" s="78"/>
      <c r="W43" s="78"/>
      <c r="X43" s="78"/>
      <c r="Y43" s="78"/>
      <c r="Z43" s="78"/>
      <c r="AA43" s="79"/>
      <c r="AB43" s="77"/>
      <c r="AC43" s="78"/>
      <c r="AD43" s="78"/>
      <c r="AE43" s="78"/>
      <c r="AF43" s="78"/>
      <c r="AG43" s="78"/>
      <c r="AH43" s="79"/>
      <c r="AI43" s="77"/>
      <c r="AJ43" s="78"/>
      <c r="AK43" s="78"/>
      <c r="AL43" s="78"/>
      <c r="AM43" s="78"/>
      <c r="AN43" s="78"/>
      <c r="AO43" s="79"/>
      <c r="AP43" s="77"/>
      <c r="AQ43" s="78"/>
      <c r="AR43" s="78"/>
      <c r="AS43" s="78"/>
      <c r="AT43" s="78"/>
      <c r="AU43" s="78"/>
      <c r="AV43" s="79"/>
      <c r="AW43" s="77"/>
      <c r="AX43" s="78"/>
      <c r="AY43" s="78"/>
      <c r="AZ43" s="78"/>
      <c r="BA43" s="78"/>
      <c r="BB43" s="78"/>
      <c r="BC43" s="79"/>
      <c r="BD43" s="77"/>
      <c r="BE43" s="78"/>
      <c r="BF43" s="78"/>
      <c r="BG43" s="78"/>
      <c r="BH43" s="78"/>
      <c r="BI43" s="78"/>
      <c r="BJ43" s="79"/>
      <c r="BK43" s="77"/>
      <c r="BL43" s="78"/>
      <c r="BM43" s="78"/>
      <c r="BN43" s="78"/>
      <c r="BO43" s="78"/>
      <c r="BP43" s="78"/>
      <c r="BQ43" s="79"/>
      <c r="BR43" s="93"/>
      <c r="BS43" s="93"/>
      <c r="BT43" s="93"/>
      <c r="BU43" s="93"/>
      <c r="BV43" s="93"/>
      <c r="BW43" s="93"/>
      <c r="BX43" s="93"/>
      <c r="BY43" s="93"/>
      <c r="BZ43" s="93"/>
      <c r="CA43" s="93"/>
      <c r="CB43" s="93"/>
      <c r="CC43" s="93"/>
      <c r="CD43" s="102"/>
      <c r="CE43" s="93"/>
      <c r="CF43" s="93"/>
      <c r="CG43" s="93"/>
      <c r="CH43" s="104"/>
      <c r="CI43" s="102"/>
      <c r="CJ43" s="93"/>
      <c r="CK43" s="93"/>
      <c r="CL43" s="93"/>
      <c r="CM43" s="104"/>
      <c r="CN43" s="102"/>
      <c r="CO43" s="93"/>
      <c r="CP43" s="93"/>
      <c r="CQ43" s="93"/>
      <c r="CR43" s="104"/>
      <c r="CS43" s="102"/>
      <c r="CT43" s="93"/>
      <c r="CU43" s="93"/>
      <c r="CV43" s="93"/>
      <c r="CW43" s="104"/>
      <c r="CX43" s="102"/>
      <c r="CY43" s="93"/>
      <c r="CZ43" s="93"/>
      <c r="DA43" s="93"/>
      <c r="DB43" s="104"/>
      <c r="DC43" s="102"/>
      <c r="DD43" s="93"/>
      <c r="DE43" s="93"/>
      <c r="DF43" s="93"/>
      <c r="DG43" s="104"/>
      <c r="DH43" s="107"/>
      <c r="DI43" s="106"/>
    </row>
    <row r="44" spans="1:113" s="29" customFormat="1" ht="18.75" customHeight="1" x14ac:dyDescent="0.25">
      <c r="A44" s="34" t="str">
        <f>IF(ISERROR(VALUE(SUBSTITUTE(prevWBS,".",""))),"1",IF(ISERROR(FIND("`",SUBSTITUTE(prevWBS,".","`",1))),TEXT(VALUE(prevWBS)+1,"#"),TEXT(VALUE(LEFT(prevWBS,FIND("`",SUBSTITUTE(prevWBS,".","`",1))-1))+1,"#")))</f>
        <v>2</v>
      </c>
      <c r="B44" s="34"/>
      <c r="C44" s="118" t="s">
        <v>147</v>
      </c>
      <c r="D44" s="118"/>
      <c r="E44" s="118"/>
      <c r="F44" s="42"/>
      <c r="G44" s="42"/>
      <c r="H44" s="43"/>
      <c r="I44" s="44"/>
      <c r="J44" s="44"/>
      <c r="K44" s="44"/>
      <c r="L44" s="114"/>
      <c r="M44" s="45"/>
      <c r="N44" s="71" t="str">
        <f t="shared" ref="N44:AC45" si="204">IF($I44=N$8,"t","")</f>
        <v/>
      </c>
      <c r="O44" s="72" t="str">
        <f t="shared" si="204"/>
        <v/>
      </c>
      <c r="P44" s="72" t="str">
        <f t="shared" si="204"/>
        <v/>
      </c>
      <c r="Q44" s="72" t="str">
        <f t="shared" si="204"/>
        <v/>
      </c>
      <c r="R44" s="72"/>
      <c r="S44" s="72"/>
      <c r="T44" s="73" t="str">
        <f t="shared" ref="T44:X44" si="205">IF($I44=T$8,"t","")</f>
        <v/>
      </c>
      <c r="U44" s="71" t="str">
        <f t="shared" si="205"/>
        <v/>
      </c>
      <c r="V44" s="72" t="str">
        <f t="shared" si="205"/>
        <v/>
      </c>
      <c r="W44" s="72" t="str">
        <f t="shared" si="205"/>
        <v/>
      </c>
      <c r="X44" s="72" t="str">
        <f t="shared" si="205"/>
        <v/>
      </c>
      <c r="Y44" s="72"/>
      <c r="Z44" s="72"/>
      <c r="AA44" s="73" t="str">
        <f t="shared" ref="AA44:AP45" si="206">IF($I44=AA$8,"t","")</f>
        <v/>
      </c>
      <c r="AB44" s="71" t="str">
        <f t="shared" si="206"/>
        <v/>
      </c>
      <c r="AC44" s="72" t="str">
        <f t="shared" si="206"/>
        <v/>
      </c>
      <c r="AD44" s="72" t="str">
        <f t="shared" si="206"/>
        <v/>
      </c>
      <c r="AE44" s="72"/>
      <c r="AF44" s="72"/>
      <c r="AG44" s="72" t="str">
        <f>IF($I44=AG$8,"t","")</f>
        <v/>
      </c>
      <c r="AH44" s="73" t="str">
        <f>IF($I44=AH$8,"t","")</f>
        <v/>
      </c>
      <c r="AI44" s="71" t="str">
        <f>IF($I44=AI$8,"t","")</f>
        <v/>
      </c>
      <c r="AJ44" s="72" t="str">
        <f>IF($I44=AJ$8,"t","")</f>
        <v/>
      </c>
      <c r="AK44" s="72" t="str">
        <f>IF($I44=AK$8,"t","")</f>
        <v/>
      </c>
      <c r="AL44" s="72"/>
      <c r="AM44" s="72"/>
      <c r="AN44" s="72" t="str">
        <f>IF($I44=AN$8,"t","")</f>
        <v/>
      </c>
      <c r="AO44" s="73" t="str">
        <f>IF($I44=AO$8,"t","")</f>
        <v/>
      </c>
      <c r="AP44" s="71" t="str">
        <f>IF($I44=AP$8,"t","")</f>
        <v/>
      </c>
      <c r="AQ44" s="72" t="str">
        <f>IF($I44=AQ$8,"t","")</f>
        <v/>
      </c>
      <c r="AR44" s="72"/>
      <c r="AS44" s="72"/>
      <c r="AT44" s="72" t="str">
        <f t="shared" ref="AT44:AY44" si="207">IF($I44=AT$8,"t","")</f>
        <v/>
      </c>
      <c r="AU44" s="72" t="str">
        <f t="shared" si="207"/>
        <v/>
      </c>
      <c r="AV44" s="73" t="str">
        <f t="shared" si="207"/>
        <v/>
      </c>
      <c r="AW44" s="71" t="str">
        <f t="shared" si="207"/>
        <v/>
      </c>
      <c r="AX44" s="72" t="str">
        <f t="shared" si="207"/>
        <v/>
      </c>
      <c r="AY44" s="72" t="str">
        <f t="shared" si="207"/>
        <v/>
      </c>
      <c r="AZ44" s="72"/>
      <c r="BA44" s="72"/>
      <c r="BB44" s="72" t="str">
        <f>IF($I44=BB$8,"t","")</f>
        <v/>
      </c>
      <c r="BC44" s="73" t="str">
        <f>IF($I44=BC$8,"t","")</f>
        <v/>
      </c>
      <c r="BD44" s="71" t="str">
        <f>IF($I44=BD$8,"t","")</f>
        <v/>
      </c>
      <c r="BE44" s="72" t="str">
        <f>IF($I44=BE$8,"t","")</f>
        <v/>
      </c>
      <c r="BF44" s="72" t="str">
        <f>IF($I44=BF$8,"t","")</f>
        <v/>
      </c>
      <c r="BG44" s="72"/>
      <c r="BH44" s="72"/>
      <c r="BI44" s="72" t="str">
        <f t="shared" ref="BI44:BN44" si="208">IF($I44=BI$8,"t","")</f>
        <v/>
      </c>
      <c r="BJ44" s="73" t="str">
        <f t="shared" si="208"/>
        <v/>
      </c>
      <c r="BK44" s="71" t="str">
        <f t="shared" si="208"/>
        <v/>
      </c>
      <c r="BL44" s="72" t="str">
        <f t="shared" si="208"/>
        <v/>
      </c>
      <c r="BM44" s="72" t="str">
        <f t="shared" si="208"/>
        <v/>
      </c>
      <c r="BN44" s="72" t="str">
        <f t="shared" si="208"/>
        <v/>
      </c>
      <c r="BO44" s="72"/>
      <c r="BP44" s="72"/>
      <c r="BQ44" s="73" t="str">
        <f>IF($I44=BQ$8,"t","")</f>
        <v/>
      </c>
      <c r="BR44" s="88" t="str">
        <f>IF($I44=BR$8,"t","")</f>
        <v/>
      </c>
      <c r="BS44" s="72" t="str">
        <f>IF($I44=BS$8,"t","")</f>
        <v/>
      </c>
      <c r="BT44" s="72" t="str">
        <f>IF($I44=BT$8,"t","")</f>
        <v/>
      </c>
      <c r="BU44" s="72"/>
      <c r="BV44" s="72"/>
      <c r="BW44" s="72" t="str">
        <f t="shared" ref="BW44:DG45" si="209">IF($I44=BW$8,"t","")</f>
        <v/>
      </c>
      <c r="BX44" s="73" t="str">
        <f t="shared" si="209"/>
        <v/>
      </c>
      <c r="BY44" s="89" t="e">
        <f t="shared" si="209"/>
        <v>#REF!</v>
      </c>
      <c r="BZ44" s="94" t="e">
        <f t="shared" si="209"/>
        <v>#REF!</v>
      </c>
      <c r="CA44" s="94" t="e">
        <f t="shared" si="209"/>
        <v>#REF!</v>
      </c>
      <c r="CB44" s="94" t="e">
        <f t="shared" si="209"/>
        <v>#REF!</v>
      </c>
      <c r="CC44" s="95" t="e">
        <f t="shared" si="209"/>
        <v>#REF!</v>
      </c>
      <c r="CD44" s="96" t="e">
        <f t="shared" si="209"/>
        <v>#REF!</v>
      </c>
      <c r="CE44" s="97" t="e">
        <f t="shared" si="209"/>
        <v>#REF!</v>
      </c>
      <c r="CF44" s="97" t="e">
        <f t="shared" si="209"/>
        <v>#REF!</v>
      </c>
      <c r="CG44" s="97" t="e">
        <f t="shared" si="209"/>
        <v>#REF!</v>
      </c>
      <c r="CH44" s="103" t="e">
        <f t="shared" si="209"/>
        <v>#REF!</v>
      </c>
      <c r="CI44" s="96" t="e">
        <f t="shared" si="209"/>
        <v>#REF!</v>
      </c>
      <c r="CJ44" s="97" t="e">
        <f t="shared" si="209"/>
        <v>#REF!</v>
      </c>
      <c r="CK44" s="97" t="e">
        <f t="shared" si="209"/>
        <v>#REF!</v>
      </c>
      <c r="CL44" s="97" t="e">
        <f t="shared" si="209"/>
        <v>#REF!</v>
      </c>
      <c r="CM44" s="103" t="e">
        <f t="shared" si="209"/>
        <v>#REF!</v>
      </c>
      <c r="CN44" s="96" t="e">
        <f t="shared" si="209"/>
        <v>#REF!</v>
      </c>
      <c r="CO44" s="97" t="e">
        <f t="shared" si="209"/>
        <v>#REF!</v>
      </c>
      <c r="CP44" s="97" t="e">
        <f t="shared" si="209"/>
        <v>#REF!</v>
      </c>
      <c r="CQ44" s="97" t="e">
        <f t="shared" si="209"/>
        <v>#REF!</v>
      </c>
      <c r="CR44" s="103" t="e">
        <f t="shared" si="209"/>
        <v>#REF!</v>
      </c>
      <c r="CS44" s="96" t="e">
        <f t="shared" si="209"/>
        <v>#REF!</v>
      </c>
      <c r="CT44" s="97" t="e">
        <f t="shared" si="209"/>
        <v>#REF!</v>
      </c>
      <c r="CU44" s="97" t="e">
        <f t="shared" si="209"/>
        <v>#REF!</v>
      </c>
      <c r="CV44" s="97" t="e">
        <f t="shared" si="209"/>
        <v>#REF!</v>
      </c>
      <c r="CW44" s="103" t="e">
        <f t="shared" si="209"/>
        <v>#REF!</v>
      </c>
      <c r="CX44" s="96" t="e">
        <f t="shared" si="209"/>
        <v>#REF!</v>
      </c>
      <c r="CY44" s="97" t="e">
        <f t="shared" si="209"/>
        <v>#REF!</v>
      </c>
      <c r="CZ44" s="97" t="e">
        <f t="shared" si="209"/>
        <v>#REF!</v>
      </c>
      <c r="DA44" s="97" t="e">
        <f t="shared" si="209"/>
        <v>#REF!</v>
      </c>
      <c r="DB44" s="103" t="e">
        <f t="shared" si="209"/>
        <v>#REF!</v>
      </c>
      <c r="DC44" s="96" t="e">
        <f t="shared" si="209"/>
        <v>#REF!</v>
      </c>
      <c r="DD44" s="97" t="e">
        <f t="shared" si="209"/>
        <v>#REF!</v>
      </c>
      <c r="DE44" s="97" t="e">
        <f t="shared" si="209"/>
        <v>#REF!</v>
      </c>
      <c r="DF44" s="97" t="e">
        <f t="shared" si="209"/>
        <v>#REF!</v>
      </c>
      <c r="DG44" s="103" t="e">
        <f t="shared" si="209"/>
        <v>#REF!</v>
      </c>
      <c r="DH44" s="105"/>
      <c r="DI44" s="106"/>
    </row>
    <row r="45" spans="1:113" s="29" customFormat="1" ht="60" x14ac:dyDescent="0.25">
      <c r="A45" s="3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45" s="109">
        <v>202507135</v>
      </c>
      <c r="C45" s="109" t="s">
        <v>148</v>
      </c>
      <c r="D45" s="108"/>
      <c r="E45" s="108" t="s">
        <v>149</v>
      </c>
      <c r="F45" s="46">
        <v>45974</v>
      </c>
      <c r="G45" s="46">
        <f t="shared" ref="G45" si="210">F45+7</f>
        <v>45981</v>
      </c>
      <c r="H45" s="49">
        <f t="shared" ref="H45" si="211">IF(OR(K45="销项",K45="已上传",K45="退回"),1,IF(K45="待上传",0.7,IF(K45="已发校审未返",0.3,IF(OR(K45="需沟通",K45="退回"),0,-1))))</f>
        <v>0</v>
      </c>
      <c r="I45" s="47" t="s">
        <v>6</v>
      </c>
      <c r="J45" s="47"/>
      <c r="K45" s="47" t="s">
        <v>145</v>
      </c>
      <c r="L45" s="115" t="s">
        <v>150</v>
      </c>
      <c r="M45" s="48" t="str">
        <f>IF($I45=N$8,"t","")</f>
        <v/>
      </c>
      <c r="N45" s="77"/>
      <c r="O45" s="78" t="str">
        <f t="shared" si="204"/>
        <v/>
      </c>
      <c r="P45" s="78" t="str">
        <f t="shared" si="204"/>
        <v/>
      </c>
      <c r="Q45" s="78" t="str">
        <f t="shared" si="204"/>
        <v/>
      </c>
      <c r="R45" s="78" t="str">
        <f t="shared" si="204"/>
        <v/>
      </c>
      <c r="S45" s="78" t="str">
        <f t="shared" si="204"/>
        <v/>
      </c>
      <c r="T45" s="79" t="str">
        <f t="shared" si="204"/>
        <v/>
      </c>
      <c r="U45" s="77" t="str">
        <f t="shared" si="204"/>
        <v/>
      </c>
      <c r="V45" s="78" t="str">
        <f t="shared" si="204"/>
        <v/>
      </c>
      <c r="W45" s="78" t="str">
        <f t="shared" si="204"/>
        <v/>
      </c>
      <c r="X45" s="78" t="str">
        <f t="shared" si="204"/>
        <v/>
      </c>
      <c r="Y45" s="78" t="str">
        <f t="shared" si="204"/>
        <v/>
      </c>
      <c r="Z45" s="78" t="str">
        <f t="shared" si="204"/>
        <v/>
      </c>
      <c r="AA45" s="79" t="str">
        <f t="shared" si="204"/>
        <v/>
      </c>
      <c r="AB45" s="77" t="str">
        <f t="shared" si="204"/>
        <v/>
      </c>
      <c r="AC45" s="78" t="str">
        <f t="shared" si="204"/>
        <v/>
      </c>
      <c r="AD45" s="78" t="str">
        <f t="shared" si="206"/>
        <v/>
      </c>
      <c r="AE45" s="78" t="str">
        <f t="shared" si="206"/>
        <v/>
      </c>
      <c r="AF45" s="78" t="str">
        <f t="shared" si="206"/>
        <v/>
      </c>
      <c r="AG45" s="78" t="str">
        <f t="shared" si="206"/>
        <v/>
      </c>
      <c r="AH45" s="79" t="str">
        <f t="shared" si="206"/>
        <v/>
      </c>
      <c r="AI45" s="77" t="str">
        <f t="shared" si="206"/>
        <v/>
      </c>
      <c r="AJ45" s="78" t="str">
        <f t="shared" si="206"/>
        <v/>
      </c>
      <c r="AK45" s="78" t="str">
        <f t="shared" si="206"/>
        <v/>
      </c>
      <c r="AL45" s="78" t="str">
        <f t="shared" si="206"/>
        <v/>
      </c>
      <c r="AM45" s="78" t="str">
        <f t="shared" si="206"/>
        <v/>
      </c>
      <c r="AN45" s="78" t="str">
        <f t="shared" si="206"/>
        <v/>
      </c>
      <c r="AO45" s="79" t="str">
        <f t="shared" si="206"/>
        <v/>
      </c>
      <c r="AP45" s="77" t="str">
        <f t="shared" si="206"/>
        <v/>
      </c>
      <c r="AQ45" s="78" t="str">
        <f t="shared" ref="AQ45:BY45" si="212">IF($I45=AQ$8,"t","")</f>
        <v/>
      </c>
      <c r="AR45" s="78" t="str">
        <f t="shared" si="212"/>
        <v/>
      </c>
      <c r="AS45" s="78" t="str">
        <f t="shared" si="212"/>
        <v/>
      </c>
      <c r="AT45" s="78" t="str">
        <f t="shared" si="212"/>
        <v/>
      </c>
      <c r="AU45" s="78" t="str">
        <f t="shared" si="212"/>
        <v/>
      </c>
      <c r="AV45" s="79" t="str">
        <f t="shared" si="212"/>
        <v/>
      </c>
      <c r="AW45" s="77" t="str">
        <f t="shared" si="212"/>
        <v/>
      </c>
      <c r="AX45" s="78" t="str">
        <f t="shared" si="212"/>
        <v/>
      </c>
      <c r="AY45" s="78" t="str">
        <f t="shared" si="212"/>
        <v/>
      </c>
      <c r="AZ45" s="78" t="str">
        <f t="shared" si="212"/>
        <v/>
      </c>
      <c r="BA45" s="78" t="str">
        <f t="shared" si="212"/>
        <v/>
      </c>
      <c r="BB45" s="78" t="str">
        <f t="shared" si="212"/>
        <v/>
      </c>
      <c r="BC45" s="79" t="str">
        <f t="shared" si="212"/>
        <v/>
      </c>
      <c r="BD45" s="77" t="str">
        <f t="shared" si="212"/>
        <v/>
      </c>
      <c r="BE45" s="78" t="str">
        <f t="shared" si="212"/>
        <v/>
      </c>
      <c r="BF45" s="78" t="str">
        <f t="shared" si="212"/>
        <v/>
      </c>
      <c r="BG45" s="78" t="str">
        <f t="shared" si="212"/>
        <v/>
      </c>
      <c r="BH45" s="78" t="str">
        <f t="shared" si="212"/>
        <v/>
      </c>
      <c r="BI45" s="78" t="str">
        <f t="shared" si="212"/>
        <v/>
      </c>
      <c r="BJ45" s="79" t="str">
        <f t="shared" si="212"/>
        <v/>
      </c>
      <c r="BK45" s="77" t="str">
        <f t="shared" si="212"/>
        <v/>
      </c>
      <c r="BL45" s="78" t="str">
        <f t="shared" si="212"/>
        <v/>
      </c>
      <c r="BM45" s="78" t="str">
        <f t="shared" si="212"/>
        <v/>
      </c>
      <c r="BN45" s="78" t="str">
        <f t="shared" si="212"/>
        <v/>
      </c>
      <c r="BO45" s="78" t="str">
        <f t="shared" si="212"/>
        <v/>
      </c>
      <c r="BP45" s="78" t="str">
        <f t="shared" si="212"/>
        <v/>
      </c>
      <c r="BQ45" s="79" t="str">
        <f t="shared" si="212"/>
        <v/>
      </c>
      <c r="BR45" s="93" t="str">
        <f t="shared" si="212"/>
        <v/>
      </c>
      <c r="BS45" s="93" t="str">
        <f t="shared" si="212"/>
        <v/>
      </c>
      <c r="BT45" s="93" t="str">
        <f t="shared" si="212"/>
        <v/>
      </c>
      <c r="BU45" s="93" t="str">
        <f t="shared" si="212"/>
        <v/>
      </c>
      <c r="BV45" s="93" t="str">
        <f t="shared" si="212"/>
        <v/>
      </c>
      <c r="BW45" s="93" t="str">
        <f t="shared" si="212"/>
        <v/>
      </c>
      <c r="BX45" s="93" t="str">
        <f t="shared" si="212"/>
        <v/>
      </c>
      <c r="BY45" s="93" t="e">
        <f t="shared" si="212"/>
        <v>#REF!</v>
      </c>
      <c r="BZ45" s="93" t="e">
        <f t="shared" si="209"/>
        <v>#REF!</v>
      </c>
      <c r="CA45" s="93" t="e">
        <f t="shared" si="209"/>
        <v>#REF!</v>
      </c>
      <c r="CB45" s="93" t="e">
        <f t="shared" si="209"/>
        <v>#REF!</v>
      </c>
      <c r="CC45" s="93" t="e">
        <f t="shared" si="209"/>
        <v>#REF!</v>
      </c>
      <c r="CD45" s="102" t="e">
        <f t="shared" si="209"/>
        <v>#REF!</v>
      </c>
      <c r="CE45" s="93" t="e">
        <f t="shared" si="209"/>
        <v>#REF!</v>
      </c>
      <c r="CF45" s="93" t="e">
        <f t="shared" si="209"/>
        <v>#REF!</v>
      </c>
      <c r="CG45" s="93" t="e">
        <f t="shared" si="209"/>
        <v>#REF!</v>
      </c>
      <c r="CH45" s="104" t="e">
        <f t="shared" si="209"/>
        <v>#REF!</v>
      </c>
      <c r="CI45" s="102" t="e">
        <f t="shared" si="209"/>
        <v>#REF!</v>
      </c>
      <c r="CJ45" s="93" t="e">
        <f t="shared" si="209"/>
        <v>#REF!</v>
      </c>
      <c r="CK45" s="93" t="e">
        <f t="shared" si="209"/>
        <v>#REF!</v>
      </c>
      <c r="CL45" s="93" t="e">
        <f t="shared" si="209"/>
        <v>#REF!</v>
      </c>
      <c r="CM45" s="104" t="e">
        <f t="shared" si="209"/>
        <v>#REF!</v>
      </c>
      <c r="CN45" s="102" t="e">
        <f t="shared" si="209"/>
        <v>#REF!</v>
      </c>
      <c r="CO45" s="93" t="e">
        <f t="shared" si="209"/>
        <v>#REF!</v>
      </c>
      <c r="CP45" s="93" t="e">
        <f t="shared" si="209"/>
        <v>#REF!</v>
      </c>
      <c r="CQ45" s="93" t="e">
        <f t="shared" si="209"/>
        <v>#REF!</v>
      </c>
      <c r="CR45" s="104" t="e">
        <f t="shared" si="209"/>
        <v>#REF!</v>
      </c>
      <c r="CS45" s="102" t="e">
        <f t="shared" si="209"/>
        <v>#REF!</v>
      </c>
      <c r="CT45" s="93" t="e">
        <f t="shared" si="209"/>
        <v>#REF!</v>
      </c>
      <c r="CU45" s="93" t="e">
        <f t="shared" si="209"/>
        <v>#REF!</v>
      </c>
      <c r="CV45" s="93" t="e">
        <f t="shared" si="209"/>
        <v>#REF!</v>
      </c>
      <c r="CW45" s="104" t="e">
        <f t="shared" si="209"/>
        <v>#REF!</v>
      </c>
      <c r="CX45" s="102" t="e">
        <f t="shared" si="209"/>
        <v>#REF!</v>
      </c>
      <c r="CY45" s="93" t="e">
        <f t="shared" si="209"/>
        <v>#REF!</v>
      </c>
      <c r="CZ45" s="93" t="e">
        <f t="shared" si="209"/>
        <v>#REF!</v>
      </c>
      <c r="DA45" s="93" t="e">
        <f t="shared" si="209"/>
        <v>#REF!</v>
      </c>
      <c r="DB45" s="104" t="e">
        <f t="shared" si="209"/>
        <v>#REF!</v>
      </c>
      <c r="DC45" s="102" t="e">
        <f t="shared" si="209"/>
        <v>#REF!</v>
      </c>
      <c r="DD45" s="93" t="e">
        <f t="shared" si="209"/>
        <v>#REF!</v>
      </c>
      <c r="DE45" s="93" t="e">
        <f t="shared" si="209"/>
        <v>#REF!</v>
      </c>
      <c r="DF45" s="93" t="e">
        <f t="shared" si="209"/>
        <v>#REF!</v>
      </c>
      <c r="DG45" s="104" t="e">
        <f t="shared" si="209"/>
        <v>#REF!</v>
      </c>
      <c r="DH45" s="107"/>
      <c r="DI45" s="106"/>
    </row>
    <row r="46" spans="1:113" s="29" customFormat="1" ht="18.75" customHeight="1" x14ac:dyDescent="0.25">
      <c r="A46" s="35" t="str">
        <f>IF(ISERROR(VALUE(SUBSTITUTE(prevWBS,".",""))),"1",IF(ISERROR(FIND("`",SUBSTITUTE(prevWBS,".","`",1))),TEXT(VALUE(prevWBS)+1,"#"),TEXT(VALUE(LEFT(prevWBS,FIND("`",SUBSTITUTE(prevWBS,".","`",1))-1))+1,"#")))</f>
        <v>3</v>
      </c>
      <c r="B46" s="34"/>
      <c r="C46" s="36" t="s">
        <v>49</v>
      </c>
      <c r="D46" s="36"/>
      <c r="E46" s="119"/>
      <c r="F46" s="50"/>
      <c r="G46" s="50"/>
      <c r="H46" s="51"/>
      <c r="I46" s="52"/>
      <c r="J46" s="52"/>
      <c r="K46" s="52"/>
      <c r="L46" s="116"/>
      <c r="M46" s="53"/>
      <c r="N46" s="74" t="str">
        <f t="shared" ref="N46:BY46" si="213">IF($I46=N$8,"t","")</f>
        <v/>
      </c>
      <c r="O46" s="75" t="str">
        <f t="shared" si="213"/>
        <v/>
      </c>
      <c r="P46" s="75" t="str">
        <f t="shared" si="213"/>
        <v/>
      </c>
      <c r="Q46" s="75" t="str">
        <f t="shared" si="213"/>
        <v/>
      </c>
      <c r="R46" s="75" t="str">
        <f t="shared" si="213"/>
        <v/>
      </c>
      <c r="S46" s="75" t="str">
        <f t="shared" si="213"/>
        <v/>
      </c>
      <c r="T46" s="76" t="str">
        <f t="shared" si="213"/>
        <v/>
      </c>
      <c r="U46" s="74" t="str">
        <f t="shared" si="213"/>
        <v/>
      </c>
      <c r="V46" s="75" t="str">
        <f t="shared" si="213"/>
        <v/>
      </c>
      <c r="W46" s="75" t="str">
        <f t="shared" si="213"/>
        <v/>
      </c>
      <c r="X46" s="75" t="str">
        <f t="shared" si="213"/>
        <v/>
      </c>
      <c r="Y46" s="75" t="str">
        <f t="shared" si="213"/>
        <v/>
      </c>
      <c r="Z46" s="75" t="str">
        <f t="shared" si="213"/>
        <v/>
      </c>
      <c r="AA46" s="76" t="str">
        <f t="shared" si="213"/>
        <v/>
      </c>
      <c r="AB46" s="74" t="str">
        <f t="shared" si="213"/>
        <v/>
      </c>
      <c r="AC46" s="75" t="str">
        <f t="shared" si="213"/>
        <v/>
      </c>
      <c r="AD46" s="75" t="str">
        <f t="shared" si="213"/>
        <v/>
      </c>
      <c r="AE46" s="75" t="str">
        <f t="shared" si="213"/>
        <v/>
      </c>
      <c r="AF46" s="75" t="str">
        <f t="shared" si="213"/>
        <v/>
      </c>
      <c r="AG46" s="75" t="str">
        <f t="shared" si="213"/>
        <v/>
      </c>
      <c r="AH46" s="76" t="str">
        <f t="shared" si="213"/>
        <v/>
      </c>
      <c r="AI46" s="74" t="str">
        <f t="shared" si="213"/>
        <v/>
      </c>
      <c r="AJ46" s="75" t="str">
        <f t="shared" si="213"/>
        <v/>
      </c>
      <c r="AK46" s="75" t="str">
        <f t="shared" si="213"/>
        <v/>
      </c>
      <c r="AL46" s="75" t="str">
        <f t="shared" si="213"/>
        <v/>
      </c>
      <c r="AM46" s="75" t="str">
        <f t="shared" si="213"/>
        <v/>
      </c>
      <c r="AN46" s="75" t="str">
        <f t="shared" si="213"/>
        <v/>
      </c>
      <c r="AO46" s="76" t="str">
        <f t="shared" si="213"/>
        <v/>
      </c>
      <c r="AP46" s="74" t="str">
        <f t="shared" si="213"/>
        <v/>
      </c>
      <c r="AQ46" s="75" t="str">
        <f t="shared" si="213"/>
        <v/>
      </c>
      <c r="AR46" s="75" t="str">
        <f t="shared" si="213"/>
        <v/>
      </c>
      <c r="AS46" s="75" t="str">
        <f t="shared" si="213"/>
        <v/>
      </c>
      <c r="AT46" s="75" t="str">
        <f t="shared" si="213"/>
        <v/>
      </c>
      <c r="AU46" s="75" t="str">
        <f t="shared" si="213"/>
        <v/>
      </c>
      <c r="AV46" s="76" t="str">
        <f t="shared" si="213"/>
        <v/>
      </c>
      <c r="AW46" s="74" t="str">
        <f t="shared" si="213"/>
        <v/>
      </c>
      <c r="AX46" s="75" t="str">
        <f t="shared" si="213"/>
        <v/>
      </c>
      <c r="AY46" s="75" t="str">
        <f t="shared" si="213"/>
        <v/>
      </c>
      <c r="AZ46" s="75" t="str">
        <f t="shared" si="213"/>
        <v/>
      </c>
      <c r="BA46" s="75" t="str">
        <f t="shared" si="213"/>
        <v/>
      </c>
      <c r="BB46" s="75" t="str">
        <f t="shared" si="213"/>
        <v/>
      </c>
      <c r="BC46" s="76" t="str">
        <f t="shared" si="213"/>
        <v/>
      </c>
      <c r="BD46" s="74" t="str">
        <f t="shared" si="213"/>
        <v/>
      </c>
      <c r="BE46" s="75" t="str">
        <f t="shared" si="213"/>
        <v/>
      </c>
      <c r="BF46" s="75" t="str">
        <f t="shared" si="213"/>
        <v/>
      </c>
      <c r="BG46" s="75" t="str">
        <f t="shared" si="213"/>
        <v/>
      </c>
      <c r="BH46" s="75" t="str">
        <f t="shared" si="213"/>
        <v/>
      </c>
      <c r="BI46" s="75" t="str">
        <f t="shared" si="213"/>
        <v/>
      </c>
      <c r="BJ46" s="76" t="str">
        <f t="shared" si="213"/>
        <v/>
      </c>
      <c r="BK46" s="74" t="str">
        <f t="shared" si="213"/>
        <v/>
      </c>
      <c r="BL46" s="75" t="str">
        <f t="shared" si="213"/>
        <v/>
      </c>
      <c r="BM46" s="75" t="str">
        <f t="shared" si="213"/>
        <v/>
      </c>
      <c r="BN46" s="75" t="str">
        <f t="shared" si="213"/>
        <v/>
      </c>
      <c r="BO46" s="75" t="str">
        <f t="shared" si="213"/>
        <v/>
      </c>
      <c r="BP46" s="75" t="str">
        <f t="shared" si="213"/>
        <v/>
      </c>
      <c r="BQ46" s="76" t="str">
        <f t="shared" si="213"/>
        <v/>
      </c>
      <c r="BR46" s="90" t="str">
        <f t="shared" si="213"/>
        <v/>
      </c>
      <c r="BS46" s="75" t="str">
        <f t="shared" si="213"/>
        <v/>
      </c>
      <c r="BT46" s="75" t="str">
        <f t="shared" si="213"/>
        <v/>
      </c>
      <c r="BU46" s="75" t="str">
        <f t="shared" si="213"/>
        <v/>
      </c>
      <c r="BV46" s="75" t="str">
        <f t="shared" si="213"/>
        <v/>
      </c>
      <c r="BW46" s="75" t="str">
        <f t="shared" si="213"/>
        <v/>
      </c>
      <c r="BX46" s="91" t="str">
        <f t="shared" si="213"/>
        <v/>
      </c>
      <c r="BY46" s="92" t="e">
        <f t="shared" si="213"/>
        <v>#REF!</v>
      </c>
      <c r="BZ46" s="98" t="e">
        <f t="shared" ref="BZ46:DG46" si="214">IF($I46=BZ$8,"t","")</f>
        <v>#REF!</v>
      </c>
      <c r="CA46" s="98" t="e">
        <f t="shared" si="214"/>
        <v>#REF!</v>
      </c>
      <c r="CB46" s="98" t="e">
        <f t="shared" si="214"/>
        <v>#REF!</v>
      </c>
      <c r="CC46" s="99" t="e">
        <f t="shared" si="214"/>
        <v>#REF!</v>
      </c>
      <c r="CD46" s="100" t="e">
        <f t="shared" si="214"/>
        <v>#REF!</v>
      </c>
      <c r="CE46" s="101" t="e">
        <f t="shared" si="214"/>
        <v>#REF!</v>
      </c>
      <c r="CF46" s="101" t="e">
        <f t="shared" si="214"/>
        <v>#REF!</v>
      </c>
      <c r="CG46" s="101" t="e">
        <f t="shared" si="214"/>
        <v>#REF!</v>
      </c>
      <c r="CH46" s="91" t="e">
        <f t="shared" si="214"/>
        <v>#REF!</v>
      </c>
      <c r="CI46" s="100" t="e">
        <f t="shared" si="214"/>
        <v>#REF!</v>
      </c>
      <c r="CJ46" s="101" t="e">
        <f t="shared" si="214"/>
        <v>#REF!</v>
      </c>
      <c r="CK46" s="101" t="e">
        <f t="shared" si="214"/>
        <v>#REF!</v>
      </c>
      <c r="CL46" s="101" t="e">
        <f t="shared" si="214"/>
        <v>#REF!</v>
      </c>
      <c r="CM46" s="91" t="e">
        <f t="shared" si="214"/>
        <v>#REF!</v>
      </c>
      <c r="CN46" s="100" t="e">
        <f t="shared" si="214"/>
        <v>#REF!</v>
      </c>
      <c r="CO46" s="101" t="e">
        <f t="shared" si="214"/>
        <v>#REF!</v>
      </c>
      <c r="CP46" s="101" t="e">
        <f t="shared" si="214"/>
        <v>#REF!</v>
      </c>
      <c r="CQ46" s="101" t="e">
        <f t="shared" si="214"/>
        <v>#REF!</v>
      </c>
      <c r="CR46" s="91" t="e">
        <f t="shared" si="214"/>
        <v>#REF!</v>
      </c>
      <c r="CS46" s="100" t="e">
        <f t="shared" si="214"/>
        <v>#REF!</v>
      </c>
      <c r="CT46" s="101" t="e">
        <f t="shared" si="214"/>
        <v>#REF!</v>
      </c>
      <c r="CU46" s="101" t="e">
        <f t="shared" si="214"/>
        <v>#REF!</v>
      </c>
      <c r="CV46" s="101" t="e">
        <f t="shared" si="214"/>
        <v>#REF!</v>
      </c>
      <c r="CW46" s="91" t="e">
        <f t="shared" si="214"/>
        <v>#REF!</v>
      </c>
      <c r="CX46" s="100" t="e">
        <f t="shared" si="214"/>
        <v>#REF!</v>
      </c>
      <c r="CY46" s="101" t="e">
        <f t="shared" si="214"/>
        <v>#REF!</v>
      </c>
      <c r="CZ46" s="101" t="e">
        <f t="shared" si="214"/>
        <v>#REF!</v>
      </c>
      <c r="DA46" s="101" t="e">
        <f t="shared" si="214"/>
        <v>#REF!</v>
      </c>
      <c r="DB46" s="91" t="e">
        <f t="shared" si="214"/>
        <v>#REF!</v>
      </c>
      <c r="DC46" s="100" t="e">
        <f t="shared" si="214"/>
        <v>#REF!</v>
      </c>
      <c r="DD46" s="101" t="e">
        <f t="shared" si="214"/>
        <v>#REF!</v>
      </c>
      <c r="DE46" s="101" t="e">
        <f t="shared" si="214"/>
        <v>#REF!</v>
      </c>
      <c r="DF46" s="101" t="e">
        <f t="shared" si="214"/>
        <v>#REF!</v>
      </c>
      <c r="DG46" s="91" t="e">
        <f t="shared" si="214"/>
        <v>#REF!</v>
      </c>
      <c r="DH46" s="105"/>
      <c r="DI46" s="106"/>
    </row>
    <row r="47" spans="1:113" s="29" customFormat="1" ht="18.75" customHeight="1" x14ac:dyDescent="0.25">
      <c r="A47" s="3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47" s="123"/>
      <c r="C47" s="120" t="s">
        <v>46</v>
      </c>
      <c r="D47" s="120"/>
      <c r="E47" s="120" t="s">
        <v>46</v>
      </c>
      <c r="F47" s="46" t="s">
        <v>48</v>
      </c>
      <c r="G47" s="46" t="s">
        <v>6</v>
      </c>
      <c r="H47" s="49">
        <f t="shared" ref="H47:H48" si="215">IF(OR(K47="销项",K47="已上传",K47="退回"),1,IF(K47="待上传",0.7,IF(K47="已发校审未返",0.3,IF(OR(K47="需沟通",K47="退回"),0,-1))))</f>
        <v>-1</v>
      </c>
      <c r="I47" s="47" t="s">
        <v>6</v>
      </c>
      <c r="J47" s="47"/>
      <c r="K47" s="47"/>
      <c r="L47" s="115"/>
      <c r="M47" s="48"/>
      <c r="N47" s="77" t="str">
        <f t="shared" ref="N47:BY47" si="216">IF($I47=N$8,"t","")</f>
        <v/>
      </c>
      <c r="O47" s="78" t="str">
        <f t="shared" si="216"/>
        <v/>
      </c>
      <c r="P47" s="78" t="str">
        <f t="shared" si="216"/>
        <v/>
      </c>
      <c r="Q47" s="78" t="str">
        <f t="shared" si="216"/>
        <v/>
      </c>
      <c r="R47" s="78" t="str">
        <f t="shared" si="216"/>
        <v/>
      </c>
      <c r="S47" s="78" t="str">
        <f t="shared" si="216"/>
        <v/>
      </c>
      <c r="T47" s="79" t="str">
        <f t="shared" si="216"/>
        <v/>
      </c>
      <c r="U47" s="77" t="str">
        <f t="shared" si="216"/>
        <v/>
      </c>
      <c r="V47" s="78" t="str">
        <f t="shared" si="216"/>
        <v/>
      </c>
      <c r="W47" s="78" t="str">
        <f t="shared" si="216"/>
        <v/>
      </c>
      <c r="X47" s="78" t="str">
        <f t="shared" si="216"/>
        <v/>
      </c>
      <c r="Y47" s="78" t="str">
        <f t="shared" si="216"/>
        <v/>
      </c>
      <c r="Z47" s="78" t="str">
        <f t="shared" si="216"/>
        <v/>
      </c>
      <c r="AA47" s="79" t="str">
        <f t="shared" si="216"/>
        <v/>
      </c>
      <c r="AB47" s="77" t="str">
        <f t="shared" si="216"/>
        <v/>
      </c>
      <c r="AC47" s="78" t="str">
        <f t="shared" si="216"/>
        <v/>
      </c>
      <c r="AD47" s="78" t="str">
        <f t="shared" si="216"/>
        <v/>
      </c>
      <c r="AE47" s="78" t="str">
        <f t="shared" si="216"/>
        <v/>
      </c>
      <c r="AF47" s="78" t="str">
        <f t="shared" si="216"/>
        <v/>
      </c>
      <c r="AG47" s="78" t="str">
        <f t="shared" si="216"/>
        <v/>
      </c>
      <c r="AH47" s="79" t="str">
        <f t="shared" si="216"/>
        <v/>
      </c>
      <c r="AI47" s="77" t="str">
        <f t="shared" si="216"/>
        <v/>
      </c>
      <c r="AJ47" s="78" t="str">
        <f t="shared" si="216"/>
        <v/>
      </c>
      <c r="AK47" s="78" t="str">
        <f t="shared" si="216"/>
        <v/>
      </c>
      <c r="AL47" s="78" t="str">
        <f t="shared" si="216"/>
        <v/>
      </c>
      <c r="AM47" s="78" t="str">
        <f t="shared" si="216"/>
        <v/>
      </c>
      <c r="AN47" s="78" t="str">
        <f t="shared" si="216"/>
        <v/>
      </c>
      <c r="AO47" s="79" t="str">
        <f t="shared" si="216"/>
        <v/>
      </c>
      <c r="AP47" s="77" t="str">
        <f t="shared" si="216"/>
        <v/>
      </c>
      <c r="AQ47" s="78" t="str">
        <f t="shared" si="216"/>
        <v/>
      </c>
      <c r="AR47" s="78" t="str">
        <f t="shared" si="216"/>
        <v/>
      </c>
      <c r="AS47" s="78" t="str">
        <f t="shared" si="216"/>
        <v/>
      </c>
      <c r="AT47" s="78" t="str">
        <f t="shared" si="216"/>
        <v/>
      </c>
      <c r="AU47" s="78" t="str">
        <f t="shared" si="216"/>
        <v/>
      </c>
      <c r="AV47" s="79" t="str">
        <f t="shared" si="216"/>
        <v/>
      </c>
      <c r="AW47" s="77" t="str">
        <f t="shared" si="216"/>
        <v/>
      </c>
      <c r="AX47" s="78" t="str">
        <f t="shared" si="216"/>
        <v/>
      </c>
      <c r="AY47" s="78" t="str">
        <f t="shared" si="216"/>
        <v/>
      </c>
      <c r="AZ47" s="78" t="str">
        <f t="shared" si="216"/>
        <v/>
      </c>
      <c r="BA47" s="78" t="str">
        <f t="shared" si="216"/>
        <v/>
      </c>
      <c r="BB47" s="78" t="str">
        <f t="shared" si="216"/>
        <v/>
      </c>
      <c r="BC47" s="79" t="str">
        <f t="shared" si="216"/>
        <v/>
      </c>
      <c r="BD47" s="77" t="str">
        <f t="shared" si="216"/>
        <v/>
      </c>
      <c r="BE47" s="78" t="str">
        <f t="shared" si="216"/>
        <v/>
      </c>
      <c r="BF47" s="78" t="str">
        <f t="shared" si="216"/>
        <v/>
      </c>
      <c r="BG47" s="78" t="str">
        <f t="shared" si="216"/>
        <v/>
      </c>
      <c r="BH47" s="78" t="str">
        <f t="shared" si="216"/>
        <v/>
      </c>
      <c r="BI47" s="78" t="str">
        <f t="shared" si="216"/>
        <v/>
      </c>
      <c r="BJ47" s="79" t="str">
        <f t="shared" si="216"/>
        <v/>
      </c>
      <c r="BK47" s="77" t="str">
        <f t="shared" si="216"/>
        <v/>
      </c>
      <c r="BL47" s="78" t="str">
        <f t="shared" si="216"/>
        <v/>
      </c>
      <c r="BM47" s="78" t="str">
        <f t="shared" si="216"/>
        <v/>
      </c>
      <c r="BN47" s="78" t="str">
        <f t="shared" si="216"/>
        <v/>
      </c>
      <c r="BO47" s="78" t="str">
        <f t="shared" si="216"/>
        <v/>
      </c>
      <c r="BP47" s="78" t="str">
        <f t="shared" si="216"/>
        <v/>
      </c>
      <c r="BQ47" s="79" t="str">
        <f t="shared" si="216"/>
        <v/>
      </c>
      <c r="BR47" s="93" t="str">
        <f t="shared" si="216"/>
        <v/>
      </c>
      <c r="BS47" s="93" t="str">
        <f t="shared" si="216"/>
        <v/>
      </c>
      <c r="BT47" s="93" t="str">
        <f t="shared" si="216"/>
        <v/>
      </c>
      <c r="BU47" s="93" t="str">
        <f t="shared" si="216"/>
        <v/>
      </c>
      <c r="BV47" s="93" t="str">
        <f t="shared" si="216"/>
        <v/>
      </c>
      <c r="BW47" s="93" t="str">
        <f t="shared" si="216"/>
        <v/>
      </c>
      <c r="BX47" s="93" t="str">
        <f t="shared" si="216"/>
        <v/>
      </c>
      <c r="BY47" s="93" t="e">
        <f t="shared" si="216"/>
        <v>#REF!</v>
      </c>
      <c r="BZ47" s="93" t="e">
        <f t="shared" ref="BZ47:DG47" si="217">IF($I47=BZ$8,"t","")</f>
        <v>#REF!</v>
      </c>
      <c r="CA47" s="93" t="e">
        <f t="shared" si="217"/>
        <v>#REF!</v>
      </c>
      <c r="CB47" s="93" t="e">
        <f t="shared" si="217"/>
        <v>#REF!</v>
      </c>
      <c r="CC47" s="93" t="e">
        <f t="shared" si="217"/>
        <v>#REF!</v>
      </c>
      <c r="CD47" s="102" t="e">
        <f t="shared" si="217"/>
        <v>#REF!</v>
      </c>
      <c r="CE47" s="93" t="e">
        <f t="shared" si="217"/>
        <v>#REF!</v>
      </c>
      <c r="CF47" s="93" t="e">
        <f t="shared" si="217"/>
        <v>#REF!</v>
      </c>
      <c r="CG47" s="93" t="e">
        <f t="shared" si="217"/>
        <v>#REF!</v>
      </c>
      <c r="CH47" s="104" t="e">
        <f t="shared" si="217"/>
        <v>#REF!</v>
      </c>
      <c r="CI47" s="102" t="e">
        <f t="shared" si="217"/>
        <v>#REF!</v>
      </c>
      <c r="CJ47" s="93" t="e">
        <f t="shared" si="217"/>
        <v>#REF!</v>
      </c>
      <c r="CK47" s="93" t="e">
        <f t="shared" si="217"/>
        <v>#REF!</v>
      </c>
      <c r="CL47" s="93" t="e">
        <f t="shared" si="217"/>
        <v>#REF!</v>
      </c>
      <c r="CM47" s="104" t="e">
        <f t="shared" si="217"/>
        <v>#REF!</v>
      </c>
      <c r="CN47" s="102" t="e">
        <f t="shared" si="217"/>
        <v>#REF!</v>
      </c>
      <c r="CO47" s="93" t="e">
        <f t="shared" si="217"/>
        <v>#REF!</v>
      </c>
      <c r="CP47" s="93" t="e">
        <f t="shared" si="217"/>
        <v>#REF!</v>
      </c>
      <c r="CQ47" s="93" t="e">
        <f t="shared" si="217"/>
        <v>#REF!</v>
      </c>
      <c r="CR47" s="104" t="e">
        <f t="shared" si="217"/>
        <v>#REF!</v>
      </c>
      <c r="CS47" s="102" t="e">
        <f t="shared" si="217"/>
        <v>#REF!</v>
      </c>
      <c r="CT47" s="93" t="e">
        <f t="shared" si="217"/>
        <v>#REF!</v>
      </c>
      <c r="CU47" s="93" t="e">
        <f t="shared" si="217"/>
        <v>#REF!</v>
      </c>
      <c r="CV47" s="93" t="e">
        <f t="shared" si="217"/>
        <v>#REF!</v>
      </c>
      <c r="CW47" s="104" t="e">
        <f t="shared" si="217"/>
        <v>#REF!</v>
      </c>
      <c r="CX47" s="102" t="e">
        <f t="shared" si="217"/>
        <v>#REF!</v>
      </c>
      <c r="CY47" s="93" t="e">
        <f t="shared" si="217"/>
        <v>#REF!</v>
      </c>
      <c r="CZ47" s="93" t="e">
        <f t="shared" si="217"/>
        <v>#REF!</v>
      </c>
      <c r="DA47" s="93" t="e">
        <f t="shared" si="217"/>
        <v>#REF!</v>
      </c>
      <c r="DB47" s="104" t="e">
        <f t="shared" si="217"/>
        <v>#REF!</v>
      </c>
      <c r="DC47" s="102" t="e">
        <f t="shared" si="217"/>
        <v>#REF!</v>
      </c>
      <c r="DD47" s="93" t="e">
        <f t="shared" si="217"/>
        <v>#REF!</v>
      </c>
      <c r="DE47" s="93" t="e">
        <f t="shared" si="217"/>
        <v>#REF!</v>
      </c>
      <c r="DF47" s="93" t="e">
        <f t="shared" si="217"/>
        <v>#REF!</v>
      </c>
      <c r="DG47" s="104" t="e">
        <f t="shared" si="217"/>
        <v>#REF!</v>
      </c>
      <c r="DH47" s="107"/>
      <c r="DI47" s="106"/>
    </row>
    <row r="48" spans="1:113" s="29" customFormat="1" ht="39" x14ac:dyDescent="0.25">
      <c r="A48" s="37" t="str">
        <f t="shared" si="177"/>
        <v>3.2</v>
      </c>
      <c r="B48" s="122">
        <v>20240503901</v>
      </c>
      <c r="C48" s="109" t="s">
        <v>130</v>
      </c>
      <c r="D48" s="108"/>
      <c r="E48" s="108"/>
      <c r="F48" s="46" t="s">
        <v>48</v>
      </c>
      <c r="G48" s="46" t="s">
        <v>6</v>
      </c>
      <c r="H48" s="49">
        <f t="shared" si="215"/>
        <v>-1</v>
      </c>
      <c r="I48" s="47"/>
      <c r="J48" s="47"/>
      <c r="K48" s="47"/>
      <c r="L48" s="115"/>
      <c r="M48" s="48"/>
      <c r="N48" s="77"/>
      <c r="O48" s="78"/>
      <c r="P48" s="78"/>
      <c r="Q48" s="78"/>
      <c r="R48" s="78"/>
      <c r="S48" s="78"/>
      <c r="T48" s="79"/>
      <c r="U48" s="77"/>
      <c r="V48" s="78"/>
      <c r="W48" s="78"/>
      <c r="X48" s="78"/>
      <c r="Y48" s="78"/>
      <c r="Z48" s="78"/>
      <c r="AA48" s="79"/>
      <c r="AB48" s="77"/>
      <c r="AC48" s="78"/>
      <c r="AD48" s="78"/>
      <c r="AE48" s="78"/>
      <c r="AF48" s="78"/>
      <c r="AG48" s="78"/>
      <c r="AH48" s="79"/>
      <c r="AI48" s="77"/>
      <c r="AJ48" s="78"/>
      <c r="AK48" s="78"/>
      <c r="AL48" s="78"/>
      <c r="AM48" s="78"/>
      <c r="AN48" s="78"/>
      <c r="AO48" s="79"/>
      <c r="AP48" s="77"/>
      <c r="AQ48" s="78"/>
      <c r="AR48" s="78"/>
      <c r="AS48" s="78"/>
      <c r="AT48" s="78"/>
      <c r="AU48" s="78"/>
      <c r="AV48" s="79"/>
      <c r="AW48" s="77"/>
      <c r="AX48" s="78"/>
      <c r="AY48" s="78"/>
      <c r="AZ48" s="78"/>
      <c r="BA48" s="78"/>
      <c r="BB48" s="78"/>
      <c r="BC48" s="79"/>
      <c r="BD48" s="77"/>
      <c r="BE48" s="78"/>
      <c r="BF48" s="78"/>
      <c r="BG48" s="78"/>
      <c r="BH48" s="78"/>
      <c r="BI48" s="78"/>
      <c r="BJ48" s="79"/>
      <c r="BK48" s="77"/>
      <c r="BL48" s="78"/>
      <c r="BM48" s="78"/>
      <c r="BN48" s="78"/>
      <c r="BO48" s="78"/>
      <c r="BP48" s="78"/>
      <c r="BQ48" s="79"/>
      <c r="BR48" s="93"/>
      <c r="BS48" s="93"/>
      <c r="BT48" s="93"/>
      <c r="BU48" s="93"/>
      <c r="BV48" s="93"/>
      <c r="BW48" s="93"/>
      <c r="BX48" s="93"/>
      <c r="BY48" s="93"/>
      <c r="BZ48" s="93"/>
      <c r="CA48" s="93"/>
      <c r="CB48" s="93"/>
      <c r="CC48" s="93"/>
      <c r="CD48" s="102"/>
      <c r="CE48" s="93"/>
      <c r="CF48" s="93"/>
      <c r="CG48" s="93"/>
      <c r="CH48" s="104"/>
      <c r="CI48" s="102"/>
      <c r="CJ48" s="93"/>
      <c r="CK48" s="93"/>
      <c r="CL48" s="93"/>
      <c r="CM48" s="104"/>
      <c r="CN48" s="102"/>
      <c r="CO48" s="93"/>
      <c r="CP48" s="93"/>
      <c r="CQ48" s="93"/>
      <c r="CR48" s="104"/>
      <c r="CS48" s="102"/>
      <c r="CT48" s="93"/>
      <c r="CU48" s="93"/>
      <c r="CV48" s="93"/>
      <c r="CW48" s="104"/>
      <c r="CX48" s="102"/>
      <c r="CY48" s="93"/>
      <c r="CZ48" s="93"/>
      <c r="DA48" s="93"/>
      <c r="DB48" s="104"/>
      <c r="DC48" s="102"/>
      <c r="DD48" s="93"/>
      <c r="DE48" s="93"/>
      <c r="DF48" s="93"/>
      <c r="DG48" s="104"/>
      <c r="DH48" s="107"/>
      <c r="DI48" s="106"/>
    </row>
    <row r="49" spans="1:114" s="29" customFormat="1" ht="18.75" customHeight="1" x14ac:dyDescent="0.25">
      <c r="A49" s="35" t="str">
        <f>IF(ISERROR(VALUE(SUBSTITUTE(prevWBS,".",""))),"1",IF(ISERROR(FIND("`",SUBSTITUTE(prevWBS,".","`",1))),TEXT(VALUE(prevWBS)+1,"#"),TEXT(VALUE(LEFT(prevWBS,FIND("`",SUBSTITUTE(prevWBS,".","`",1))-1))+1,"#")))</f>
        <v>4</v>
      </c>
      <c r="B49" s="34"/>
      <c r="C49" s="36" t="s">
        <v>53</v>
      </c>
      <c r="D49" s="36"/>
      <c r="E49" s="119"/>
      <c r="F49" s="50"/>
      <c r="G49" s="50"/>
      <c r="H49" s="51"/>
      <c r="I49" s="52"/>
      <c r="J49" s="52"/>
      <c r="K49" s="52"/>
      <c r="L49" s="116"/>
      <c r="M49" s="53"/>
      <c r="N49" s="74" t="str">
        <f t="shared" ref="N49:BX49" si="218">IF($I49=N$8,"t","")</f>
        <v/>
      </c>
      <c r="O49" s="75" t="str">
        <f t="shared" si="218"/>
        <v/>
      </c>
      <c r="P49" s="75" t="str">
        <f t="shared" si="218"/>
        <v/>
      </c>
      <c r="Q49" s="75" t="str">
        <f t="shared" si="218"/>
        <v/>
      </c>
      <c r="R49" s="75" t="str">
        <f t="shared" si="218"/>
        <v/>
      </c>
      <c r="S49" s="75" t="str">
        <f t="shared" si="218"/>
        <v/>
      </c>
      <c r="T49" s="76" t="str">
        <f t="shared" si="218"/>
        <v/>
      </c>
      <c r="U49" s="74" t="str">
        <f t="shared" si="218"/>
        <v/>
      </c>
      <c r="V49" s="75" t="str">
        <f t="shared" si="218"/>
        <v/>
      </c>
      <c r="W49" s="75" t="str">
        <f t="shared" si="218"/>
        <v/>
      </c>
      <c r="X49" s="75" t="str">
        <f t="shared" si="218"/>
        <v/>
      </c>
      <c r="Y49" s="75" t="str">
        <f t="shared" si="218"/>
        <v/>
      </c>
      <c r="Z49" s="75" t="str">
        <f t="shared" si="218"/>
        <v/>
      </c>
      <c r="AA49" s="76" t="str">
        <f t="shared" si="218"/>
        <v/>
      </c>
      <c r="AB49" s="74" t="str">
        <f t="shared" si="218"/>
        <v/>
      </c>
      <c r="AC49" s="75" t="str">
        <f t="shared" si="218"/>
        <v/>
      </c>
      <c r="AD49" s="75" t="str">
        <f t="shared" si="218"/>
        <v/>
      </c>
      <c r="AE49" s="75" t="str">
        <f t="shared" si="218"/>
        <v/>
      </c>
      <c r="AF49" s="75" t="str">
        <f t="shared" si="218"/>
        <v/>
      </c>
      <c r="AG49" s="75" t="str">
        <f t="shared" si="218"/>
        <v/>
      </c>
      <c r="AH49" s="76" t="str">
        <f t="shared" si="218"/>
        <v/>
      </c>
      <c r="AI49" s="74" t="str">
        <f t="shared" si="218"/>
        <v/>
      </c>
      <c r="AJ49" s="75" t="str">
        <f t="shared" si="218"/>
        <v/>
      </c>
      <c r="AK49" s="75" t="str">
        <f t="shared" si="218"/>
        <v/>
      </c>
      <c r="AL49" s="75" t="str">
        <f t="shared" si="218"/>
        <v/>
      </c>
      <c r="AM49" s="75" t="str">
        <f t="shared" si="218"/>
        <v/>
      </c>
      <c r="AN49" s="75" t="str">
        <f t="shared" si="218"/>
        <v/>
      </c>
      <c r="AO49" s="76" t="str">
        <f t="shared" si="218"/>
        <v/>
      </c>
      <c r="AP49" s="74" t="str">
        <f t="shared" si="218"/>
        <v/>
      </c>
      <c r="AQ49" s="75" t="str">
        <f t="shared" si="218"/>
        <v/>
      </c>
      <c r="AR49" s="75" t="str">
        <f t="shared" si="218"/>
        <v/>
      </c>
      <c r="AS49" s="75" t="str">
        <f t="shared" si="218"/>
        <v/>
      </c>
      <c r="AT49" s="75" t="str">
        <f t="shared" si="218"/>
        <v/>
      </c>
      <c r="AU49" s="75" t="str">
        <f t="shared" si="218"/>
        <v/>
      </c>
      <c r="AV49" s="76" t="str">
        <f t="shared" si="218"/>
        <v/>
      </c>
      <c r="AW49" s="74" t="str">
        <f t="shared" si="218"/>
        <v/>
      </c>
      <c r="AX49" s="75" t="str">
        <f t="shared" si="218"/>
        <v/>
      </c>
      <c r="AY49" s="75" t="str">
        <f t="shared" si="218"/>
        <v/>
      </c>
      <c r="AZ49" s="75" t="str">
        <f t="shared" si="218"/>
        <v/>
      </c>
      <c r="BA49" s="75" t="str">
        <f t="shared" si="218"/>
        <v/>
      </c>
      <c r="BB49" s="75" t="str">
        <f t="shared" si="218"/>
        <v/>
      </c>
      <c r="BC49" s="76" t="str">
        <f t="shared" si="218"/>
        <v/>
      </c>
      <c r="BD49" s="74" t="str">
        <f t="shared" si="218"/>
        <v/>
      </c>
      <c r="BE49" s="75" t="str">
        <f t="shared" si="218"/>
        <v/>
      </c>
      <c r="BF49" s="75" t="str">
        <f t="shared" si="218"/>
        <v/>
      </c>
      <c r="BG49" s="75" t="str">
        <f t="shared" si="218"/>
        <v/>
      </c>
      <c r="BH49" s="75" t="str">
        <f t="shared" si="218"/>
        <v/>
      </c>
      <c r="BI49" s="75" t="str">
        <f t="shared" si="218"/>
        <v/>
      </c>
      <c r="BJ49" s="76" t="str">
        <f t="shared" si="218"/>
        <v/>
      </c>
      <c r="BK49" s="74" t="str">
        <f t="shared" si="218"/>
        <v/>
      </c>
      <c r="BL49" s="75" t="str">
        <f t="shared" si="218"/>
        <v/>
      </c>
      <c r="BM49" s="75" t="str">
        <f t="shared" si="218"/>
        <v/>
      </c>
      <c r="BN49" s="75" t="str">
        <f t="shared" si="218"/>
        <v/>
      </c>
      <c r="BO49" s="75" t="str">
        <f t="shared" si="218"/>
        <v/>
      </c>
      <c r="BP49" s="75" t="str">
        <f t="shared" si="218"/>
        <v/>
      </c>
      <c r="BQ49" s="76" t="str">
        <f t="shared" si="218"/>
        <v/>
      </c>
      <c r="BR49" s="90" t="str">
        <f t="shared" si="218"/>
        <v/>
      </c>
      <c r="BS49" s="75" t="str">
        <f t="shared" si="218"/>
        <v/>
      </c>
      <c r="BT49" s="75" t="str">
        <f t="shared" si="218"/>
        <v/>
      </c>
      <c r="BU49" s="75" t="str">
        <f t="shared" si="218"/>
        <v/>
      </c>
      <c r="BV49" s="75" t="str">
        <f t="shared" si="218"/>
        <v/>
      </c>
      <c r="BW49" s="75" t="str">
        <f t="shared" si="218"/>
        <v/>
      </c>
      <c r="BX49" s="91" t="str">
        <f t="shared" si="218"/>
        <v/>
      </c>
      <c r="BY49" s="92"/>
      <c r="BZ49" s="98"/>
      <c r="CA49" s="98"/>
      <c r="CB49" s="98"/>
      <c r="CC49" s="99"/>
      <c r="CD49" s="100"/>
      <c r="CE49" s="101"/>
      <c r="CF49" s="101"/>
      <c r="CG49" s="101"/>
      <c r="CH49" s="91"/>
      <c r="CI49" s="100"/>
      <c r="CJ49" s="101"/>
      <c r="CK49" s="101"/>
      <c r="CL49" s="101"/>
      <c r="CM49" s="91"/>
      <c r="CN49" s="100"/>
      <c r="CO49" s="101"/>
      <c r="CP49" s="101"/>
      <c r="CQ49" s="101"/>
      <c r="CR49" s="91"/>
      <c r="CS49" s="100"/>
      <c r="CT49" s="101"/>
      <c r="CU49" s="101"/>
      <c r="CV49" s="101"/>
      <c r="CW49" s="91"/>
      <c r="CX49" s="100"/>
      <c r="CY49" s="101"/>
      <c r="CZ49" s="101"/>
      <c r="DA49" s="101"/>
      <c r="DB49" s="91"/>
      <c r="DC49" s="100"/>
      <c r="DD49" s="101"/>
      <c r="DE49" s="101"/>
      <c r="DF49" s="101"/>
      <c r="DG49" s="91"/>
      <c r="DH49" s="105"/>
      <c r="DI49" s="106"/>
    </row>
    <row r="50" spans="1:114" s="29" customFormat="1" ht="18.75" customHeight="1" x14ac:dyDescent="0.25">
      <c r="A50" s="3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50" s="123"/>
      <c r="C50" s="120" t="s">
        <v>46</v>
      </c>
      <c r="D50" s="120"/>
      <c r="E50" s="120" t="s">
        <v>46</v>
      </c>
      <c r="F50" s="46" t="s">
        <v>6</v>
      </c>
      <c r="G50" s="46" t="s">
        <v>6</v>
      </c>
      <c r="H50" s="49">
        <f t="shared" ref="H50" si="219">IF(OR(K50="销项",K50="已上传",K50="退回"),1,IF(K50="待上传",0.7,IF(K50="已发校审未返",0.3,IF(OR(K50="需沟通",K50="退回"),0,-1))))</f>
        <v>-1</v>
      </c>
      <c r="I50" s="47" t="s">
        <v>6</v>
      </c>
      <c r="J50" s="47"/>
      <c r="K50" s="47"/>
      <c r="L50" s="115"/>
      <c r="M50" s="48"/>
      <c r="N50" s="77" t="str">
        <f t="shared" ref="N50:BY50" si="220">IF($I50=N$8,"t","")</f>
        <v/>
      </c>
      <c r="O50" s="78" t="str">
        <f t="shared" si="220"/>
        <v/>
      </c>
      <c r="P50" s="78" t="str">
        <f t="shared" si="220"/>
        <v/>
      </c>
      <c r="Q50" s="78" t="str">
        <f t="shared" si="220"/>
        <v/>
      </c>
      <c r="R50" s="78" t="str">
        <f t="shared" si="220"/>
        <v/>
      </c>
      <c r="S50" s="78" t="str">
        <f t="shared" si="220"/>
        <v/>
      </c>
      <c r="T50" s="79" t="str">
        <f t="shared" si="220"/>
        <v/>
      </c>
      <c r="U50" s="77" t="str">
        <f t="shared" si="220"/>
        <v/>
      </c>
      <c r="V50" s="78" t="str">
        <f t="shared" si="220"/>
        <v/>
      </c>
      <c r="W50" s="78" t="str">
        <f t="shared" si="220"/>
        <v/>
      </c>
      <c r="X50" s="78" t="str">
        <f t="shared" si="220"/>
        <v/>
      </c>
      <c r="Y50" s="78" t="str">
        <f t="shared" si="220"/>
        <v/>
      </c>
      <c r="Z50" s="78" t="str">
        <f t="shared" si="220"/>
        <v/>
      </c>
      <c r="AA50" s="79" t="str">
        <f t="shared" si="220"/>
        <v/>
      </c>
      <c r="AB50" s="77" t="str">
        <f t="shared" si="220"/>
        <v/>
      </c>
      <c r="AC50" s="78" t="str">
        <f t="shared" si="220"/>
        <v/>
      </c>
      <c r="AD50" s="78" t="str">
        <f t="shared" si="220"/>
        <v/>
      </c>
      <c r="AE50" s="78" t="str">
        <f t="shared" si="220"/>
        <v/>
      </c>
      <c r="AF50" s="78" t="str">
        <f t="shared" si="220"/>
        <v/>
      </c>
      <c r="AG50" s="78" t="str">
        <f t="shared" si="220"/>
        <v/>
      </c>
      <c r="AH50" s="79" t="str">
        <f t="shared" si="220"/>
        <v/>
      </c>
      <c r="AI50" s="77" t="str">
        <f t="shared" si="220"/>
        <v/>
      </c>
      <c r="AJ50" s="78" t="str">
        <f t="shared" si="220"/>
        <v/>
      </c>
      <c r="AK50" s="78" t="str">
        <f t="shared" si="220"/>
        <v/>
      </c>
      <c r="AL50" s="78" t="str">
        <f t="shared" si="220"/>
        <v/>
      </c>
      <c r="AM50" s="78" t="str">
        <f t="shared" si="220"/>
        <v/>
      </c>
      <c r="AN50" s="78" t="str">
        <f t="shared" si="220"/>
        <v/>
      </c>
      <c r="AO50" s="79" t="str">
        <f t="shared" si="220"/>
        <v/>
      </c>
      <c r="AP50" s="77" t="str">
        <f t="shared" si="220"/>
        <v/>
      </c>
      <c r="AQ50" s="78" t="str">
        <f t="shared" si="220"/>
        <v/>
      </c>
      <c r="AR50" s="78" t="str">
        <f t="shared" si="220"/>
        <v/>
      </c>
      <c r="AS50" s="78" t="str">
        <f t="shared" si="220"/>
        <v/>
      </c>
      <c r="AT50" s="78" t="str">
        <f t="shared" si="220"/>
        <v/>
      </c>
      <c r="AU50" s="78" t="str">
        <f t="shared" si="220"/>
        <v/>
      </c>
      <c r="AV50" s="79" t="str">
        <f t="shared" si="220"/>
        <v/>
      </c>
      <c r="AW50" s="77" t="str">
        <f t="shared" si="220"/>
        <v/>
      </c>
      <c r="AX50" s="78" t="str">
        <f t="shared" si="220"/>
        <v/>
      </c>
      <c r="AY50" s="78" t="str">
        <f t="shared" si="220"/>
        <v/>
      </c>
      <c r="AZ50" s="78" t="str">
        <f t="shared" si="220"/>
        <v/>
      </c>
      <c r="BA50" s="78" t="str">
        <f t="shared" si="220"/>
        <v/>
      </c>
      <c r="BB50" s="78" t="str">
        <f t="shared" si="220"/>
        <v/>
      </c>
      <c r="BC50" s="79" t="str">
        <f t="shared" si="220"/>
        <v/>
      </c>
      <c r="BD50" s="77" t="str">
        <f t="shared" si="220"/>
        <v/>
      </c>
      <c r="BE50" s="78" t="str">
        <f t="shared" si="220"/>
        <v/>
      </c>
      <c r="BF50" s="78" t="str">
        <f t="shared" si="220"/>
        <v/>
      </c>
      <c r="BG50" s="78" t="str">
        <f t="shared" si="220"/>
        <v/>
      </c>
      <c r="BH50" s="78" t="str">
        <f t="shared" si="220"/>
        <v/>
      </c>
      <c r="BI50" s="78" t="str">
        <f t="shared" si="220"/>
        <v/>
      </c>
      <c r="BJ50" s="79" t="str">
        <f t="shared" si="220"/>
        <v/>
      </c>
      <c r="BK50" s="77" t="str">
        <f t="shared" si="220"/>
        <v/>
      </c>
      <c r="BL50" s="78" t="str">
        <f t="shared" si="220"/>
        <v/>
      </c>
      <c r="BM50" s="78" t="str">
        <f t="shared" si="220"/>
        <v/>
      </c>
      <c r="BN50" s="78" t="str">
        <f t="shared" si="220"/>
        <v/>
      </c>
      <c r="BO50" s="78" t="str">
        <f t="shared" si="220"/>
        <v/>
      </c>
      <c r="BP50" s="78" t="str">
        <f t="shared" si="220"/>
        <v/>
      </c>
      <c r="BQ50" s="79" t="str">
        <f t="shared" si="220"/>
        <v/>
      </c>
      <c r="BR50" s="93" t="str">
        <f t="shared" si="220"/>
        <v/>
      </c>
      <c r="BS50" s="93" t="str">
        <f t="shared" si="220"/>
        <v/>
      </c>
      <c r="BT50" s="93" t="str">
        <f t="shared" si="220"/>
        <v/>
      </c>
      <c r="BU50" s="93" t="str">
        <f t="shared" si="220"/>
        <v/>
      </c>
      <c r="BV50" s="93" t="str">
        <f t="shared" si="220"/>
        <v/>
      </c>
      <c r="BW50" s="93" t="str">
        <f t="shared" si="220"/>
        <v/>
      </c>
      <c r="BX50" s="93" t="str">
        <f t="shared" si="220"/>
        <v/>
      </c>
      <c r="BY50" s="93" t="e">
        <f t="shared" si="220"/>
        <v>#REF!</v>
      </c>
      <c r="BZ50" s="93" t="e">
        <f t="shared" ref="BZ50:DG50" si="221">IF($I50=BZ$8,"t","")</f>
        <v>#REF!</v>
      </c>
      <c r="CA50" s="93" t="e">
        <f t="shared" si="221"/>
        <v>#REF!</v>
      </c>
      <c r="CB50" s="93" t="e">
        <f t="shared" si="221"/>
        <v>#REF!</v>
      </c>
      <c r="CC50" s="93" t="e">
        <f t="shared" si="221"/>
        <v>#REF!</v>
      </c>
      <c r="CD50" s="102" t="e">
        <f t="shared" si="221"/>
        <v>#REF!</v>
      </c>
      <c r="CE50" s="93" t="e">
        <f t="shared" si="221"/>
        <v>#REF!</v>
      </c>
      <c r="CF50" s="93" t="e">
        <f t="shared" si="221"/>
        <v>#REF!</v>
      </c>
      <c r="CG50" s="93" t="e">
        <f t="shared" si="221"/>
        <v>#REF!</v>
      </c>
      <c r="CH50" s="104" t="e">
        <f t="shared" si="221"/>
        <v>#REF!</v>
      </c>
      <c r="CI50" s="102" t="e">
        <f t="shared" si="221"/>
        <v>#REF!</v>
      </c>
      <c r="CJ50" s="93" t="e">
        <f t="shared" si="221"/>
        <v>#REF!</v>
      </c>
      <c r="CK50" s="93" t="e">
        <f t="shared" si="221"/>
        <v>#REF!</v>
      </c>
      <c r="CL50" s="93" t="e">
        <f t="shared" si="221"/>
        <v>#REF!</v>
      </c>
      <c r="CM50" s="104" t="e">
        <f t="shared" si="221"/>
        <v>#REF!</v>
      </c>
      <c r="CN50" s="102" t="e">
        <f t="shared" si="221"/>
        <v>#REF!</v>
      </c>
      <c r="CO50" s="93" t="e">
        <f t="shared" si="221"/>
        <v>#REF!</v>
      </c>
      <c r="CP50" s="93" t="e">
        <f t="shared" si="221"/>
        <v>#REF!</v>
      </c>
      <c r="CQ50" s="93" t="e">
        <f t="shared" si="221"/>
        <v>#REF!</v>
      </c>
      <c r="CR50" s="104" t="e">
        <f t="shared" si="221"/>
        <v>#REF!</v>
      </c>
      <c r="CS50" s="102" t="e">
        <f t="shared" si="221"/>
        <v>#REF!</v>
      </c>
      <c r="CT50" s="93" t="e">
        <f t="shared" si="221"/>
        <v>#REF!</v>
      </c>
      <c r="CU50" s="93" t="e">
        <f t="shared" si="221"/>
        <v>#REF!</v>
      </c>
      <c r="CV50" s="93" t="e">
        <f t="shared" si="221"/>
        <v>#REF!</v>
      </c>
      <c r="CW50" s="104" t="e">
        <f t="shared" si="221"/>
        <v>#REF!</v>
      </c>
      <c r="CX50" s="102" t="e">
        <f t="shared" si="221"/>
        <v>#REF!</v>
      </c>
      <c r="CY50" s="93" t="e">
        <f t="shared" si="221"/>
        <v>#REF!</v>
      </c>
      <c r="CZ50" s="93" t="e">
        <f t="shared" si="221"/>
        <v>#REF!</v>
      </c>
      <c r="DA50" s="93" t="e">
        <f t="shared" si="221"/>
        <v>#REF!</v>
      </c>
      <c r="DB50" s="104" t="e">
        <f t="shared" si="221"/>
        <v>#REF!</v>
      </c>
      <c r="DC50" s="102" t="e">
        <f t="shared" si="221"/>
        <v>#REF!</v>
      </c>
      <c r="DD50" s="93" t="e">
        <f t="shared" si="221"/>
        <v>#REF!</v>
      </c>
      <c r="DE50" s="93" t="e">
        <f t="shared" si="221"/>
        <v>#REF!</v>
      </c>
      <c r="DF50" s="93" t="e">
        <f t="shared" si="221"/>
        <v>#REF!</v>
      </c>
      <c r="DG50" s="104" t="e">
        <f t="shared" si="221"/>
        <v>#REF!</v>
      </c>
      <c r="DH50" s="107"/>
      <c r="DI50" s="106"/>
    </row>
    <row r="51" spans="1:114" s="29" customFormat="1" ht="18.75" customHeight="1" x14ac:dyDescent="0.25">
      <c r="A51" s="35" t="str">
        <f>IF(ISERROR(VALUE(SUBSTITUTE(prevWBS,".",""))),"1",IF(ISERROR(FIND("`",SUBSTITUTE(prevWBS,".","`",1))),TEXT(VALUE(prevWBS)+1,"#"),TEXT(VALUE(LEFT(prevWBS,FIND("`",SUBSTITUTE(prevWBS,".","`",1))-1))+1,"#")))</f>
        <v>5</v>
      </c>
      <c r="B51" s="34"/>
      <c r="C51" s="36" t="s">
        <v>54</v>
      </c>
      <c r="D51" s="36"/>
      <c r="E51" s="119"/>
      <c r="F51" s="50"/>
      <c r="G51" s="50"/>
      <c r="H51" s="51"/>
      <c r="I51" s="52"/>
      <c r="J51" s="52"/>
      <c r="K51" s="52"/>
      <c r="L51" s="116"/>
      <c r="M51" s="53"/>
      <c r="N51" s="74" t="str">
        <f t="shared" ref="N51:AC51" si="222">IF($I51=N$8,"t","")</f>
        <v/>
      </c>
      <c r="O51" s="75" t="str">
        <f t="shared" si="222"/>
        <v/>
      </c>
      <c r="P51" s="75" t="str">
        <f t="shared" si="222"/>
        <v/>
      </c>
      <c r="Q51" s="75" t="str">
        <f t="shared" si="222"/>
        <v/>
      </c>
      <c r="R51" s="75" t="str">
        <f t="shared" si="222"/>
        <v/>
      </c>
      <c r="S51" s="75" t="str">
        <f t="shared" si="222"/>
        <v/>
      </c>
      <c r="T51" s="76" t="str">
        <f t="shared" si="222"/>
        <v/>
      </c>
      <c r="U51" s="74" t="str">
        <f t="shared" si="222"/>
        <v/>
      </c>
      <c r="V51" s="75" t="str">
        <f t="shared" si="222"/>
        <v/>
      </c>
      <c r="W51" s="75" t="str">
        <f t="shared" si="222"/>
        <v/>
      </c>
      <c r="X51" s="75" t="str">
        <f t="shared" si="222"/>
        <v/>
      </c>
      <c r="Y51" s="75" t="str">
        <f t="shared" si="222"/>
        <v/>
      </c>
      <c r="Z51" s="75" t="str">
        <f t="shared" si="222"/>
        <v/>
      </c>
      <c r="AA51" s="76" t="str">
        <f t="shared" si="222"/>
        <v/>
      </c>
      <c r="AB51" s="74" t="str">
        <f t="shared" si="222"/>
        <v/>
      </c>
      <c r="AC51" s="75" t="str">
        <f t="shared" si="222"/>
        <v/>
      </c>
      <c r="AD51" s="75" t="str">
        <f t="shared" ref="AD51:AS51" si="223">IF($I51=AD$8,"t","")</f>
        <v/>
      </c>
      <c r="AE51" s="75" t="str">
        <f t="shared" si="223"/>
        <v/>
      </c>
      <c r="AF51" s="75" t="str">
        <f t="shared" si="223"/>
        <v/>
      </c>
      <c r="AG51" s="75" t="str">
        <f t="shared" si="223"/>
        <v/>
      </c>
      <c r="AH51" s="76" t="str">
        <f t="shared" si="223"/>
        <v/>
      </c>
      <c r="AI51" s="74" t="str">
        <f t="shared" si="223"/>
        <v/>
      </c>
      <c r="AJ51" s="75" t="str">
        <f t="shared" si="223"/>
        <v/>
      </c>
      <c r="AK51" s="75" t="str">
        <f t="shared" si="223"/>
        <v/>
      </c>
      <c r="AL51" s="75" t="str">
        <f t="shared" si="223"/>
        <v/>
      </c>
      <c r="AM51" s="75" t="str">
        <f t="shared" si="223"/>
        <v/>
      </c>
      <c r="AN51" s="75" t="str">
        <f t="shared" si="223"/>
        <v/>
      </c>
      <c r="AO51" s="76" t="str">
        <f t="shared" si="223"/>
        <v/>
      </c>
      <c r="AP51" s="74" t="str">
        <f t="shared" si="223"/>
        <v/>
      </c>
      <c r="AQ51" s="75" t="str">
        <f t="shared" si="223"/>
        <v/>
      </c>
      <c r="AR51" s="75" t="str">
        <f t="shared" si="223"/>
        <v/>
      </c>
      <c r="AS51" s="75" t="str">
        <f t="shared" si="223"/>
        <v/>
      </c>
      <c r="AT51" s="75" t="str">
        <f t="shared" ref="AT51:BC51" si="224">IF($I51=AT$8,"t","")</f>
        <v/>
      </c>
      <c r="AU51" s="75" t="str">
        <f t="shared" si="224"/>
        <v/>
      </c>
      <c r="AV51" s="76" t="str">
        <f t="shared" si="224"/>
        <v/>
      </c>
      <c r="AW51" s="74" t="str">
        <f t="shared" si="224"/>
        <v/>
      </c>
      <c r="AX51" s="75" t="str">
        <f t="shared" si="224"/>
        <v/>
      </c>
      <c r="AY51" s="75" t="str">
        <f t="shared" si="224"/>
        <v/>
      </c>
      <c r="AZ51" s="75" t="str">
        <f t="shared" si="224"/>
        <v/>
      </c>
      <c r="BA51" s="75" t="str">
        <f t="shared" si="224"/>
        <v/>
      </c>
      <c r="BB51" s="75" t="str">
        <f t="shared" si="224"/>
        <v/>
      </c>
      <c r="BC51" s="76" t="str">
        <f t="shared" si="224"/>
        <v/>
      </c>
      <c r="BD51" s="74" t="str">
        <f t="shared" ref="BD51:BM51" si="225">IF($I51=BD$8,"t","")</f>
        <v/>
      </c>
      <c r="BE51" s="75" t="str">
        <f t="shared" si="225"/>
        <v/>
      </c>
      <c r="BF51" s="75" t="str">
        <f t="shared" si="225"/>
        <v/>
      </c>
      <c r="BG51" s="75" t="str">
        <f t="shared" si="225"/>
        <v/>
      </c>
      <c r="BH51" s="75" t="str">
        <f t="shared" si="225"/>
        <v/>
      </c>
      <c r="BI51" s="75" t="str">
        <f t="shared" si="225"/>
        <v/>
      </c>
      <c r="BJ51" s="76" t="str">
        <f t="shared" si="225"/>
        <v/>
      </c>
      <c r="BK51" s="74" t="str">
        <f t="shared" si="225"/>
        <v/>
      </c>
      <c r="BL51" s="75" t="str">
        <f t="shared" si="225"/>
        <v/>
      </c>
      <c r="BM51" s="75" t="str">
        <f t="shared" si="225"/>
        <v/>
      </c>
      <c r="BN51" s="75" t="str">
        <f t="shared" ref="BN51:BX51" si="226">IF($I51=BN$8,"t","")</f>
        <v/>
      </c>
      <c r="BO51" s="75" t="str">
        <f t="shared" si="226"/>
        <v/>
      </c>
      <c r="BP51" s="75" t="str">
        <f t="shared" si="226"/>
        <v/>
      </c>
      <c r="BQ51" s="76" t="str">
        <f t="shared" si="226"/>
        <v/>
      </c>
      <c r="BR51" s="90" t="str">
        <f t="shared" si="226"/>
        <v/>
      </c>
      <c r="BS51" s="75" t="str">
        <f t="shared" si="226"/>
        <v/>
      </c>
      <c r="BT51" s="75" t="str">
        <f t="shared" si="226"/>
        <v/>
      </c>
      <c r="BU51" s="75" t="str">
        <f t="shared" si="226"/>
        <v/>
      </c>
      <c r="BV51" s="75" t="str">
        <f t="shared" si="226"/>
        <v/>
      </c>
      <c r="BW51" s="75" t="str">
        <f t="shared" si="226"/>
        <v/>
      </c>
      <c r="BX51" s="91" t="str">
        <f t="shared" si="226"/>
        <v/>
      </c>
      <c r="BY51" s="92"/>
      <c r="BZ51" s="98"/>
      <c r="CA51" s="98"/>
      <c r="CB51" s="98"/>
      <c r="CC51" s="99"/>
      <c r="CD51" s="100"/>
      <c r="CE51" s="101"/>
      <c r="CF51" s="101"/>
      <c r="CG51" s="101"/>
      <c r="CH51" s="91"/>
      <c r="CI51" s="100"/>
      <c r="CJ51" s="101"/>
      <c r="CK51" s="101"/>
      <c r="CL51" s="101"/>
      <c r="CM51" s="91"/>
      <c r="CN51" s="100"/>
      <c r="CO51" s="101"/>
      <c r="CP51" s="101"/>
      <c r="CQ51" s="101"/>
      <c r="CR51" s="91"/>
      <c r="CS51" s="100"/>
      <c r="CT51" s="101"/>
      <c r="CU51" s="101"/>
      <c r="CV51" s="101"/>
      <c r="CW51" s="91"/>
      <c r="CX51" s="100"/>
      <c r="CY51" s="101"/>
      <c r="CZ51" s="101"/>
      <c r="DA51" s="101"/>
      <c r="DB51" s="91"/>
      <c r="DC51" s="100"/>
      <c r="DD51" s="101"/>
      <c r="DE51" s="101"/>
      <c r="DF51" s="101"/>
      <c r="DG51" s="91"/>
      <c r="DH51" s="105"/>
      <c r="DI51" s="106"/>
    </row>
    <row r="52" spans="1:114" s="29" customFormat="1" ht="18.75" customHeight="1" x14ac:dyDescent="0.25">
      <c r="A52" s="3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52" s="123"/>
      <c r="C52" s="120" t="s">
        <v>46</v>
      </c>
      <c r="D52" s="120"/>
      <c r="E52" s="120" t="s">
        <v>46</v>
      </c>
      <c r="F52" s="46" t="s">
        <v>6</v>
      </c>
      <c r="G52" s="46"/>
      <c r="H52" s="49">
        <f t="shared" ref="H52" si="227">IF(OR(K52="销项",K52="已上传",K52="退回"),1,IF(K52="待上传",0.7,IF(K52="已发校审未返",0.3,IF(OR(K52="需沟通",K52="退回"),0,-1))))</f>
        <v>-1</v>
      </c>
      <c r="I52" s="47" t="s">
        <v>6</v>
      </c>
      <c r="J52" s="47"/>
      <c r="K52" s="47"/>
      <c r="L52" s="115"/>
      <c r="M52" s="48"/>
      <c r="N52" s="77" t="str">
        <f t="shared" ref="N52:BY52" si="228">IF($I52=N$8,"t","")</f>
        <v/>
      </c>
      <c r="O52" s="78" t="str">
        <f t="shared" si="228"/>
        <v/>
      </c>
      <c r="P52" s="78" t="str">
        <f t="shared" si="228"/>
        <v/>
      </c>
      <c r="Q52" s="78" t="str">
        <f t="shared" si="228"/>
        <v/>
      </c>
      <c r="R52" s="78" t="str">
        <f t="shared" si="228"/>
        <v/>
      </c>
      <c r="S52" s="78" t="str">
        <f t="shared" si="228"/>
        <v/>
      </c>
      <c r="T52" s="79" t="str">
        <f t="shared" si="228"/>
        <v/>
      </c>
      <c r="U52" s="77" t="str">
        <f t="shared" si="228"/>
        <v/>
      </c>
      <c r="V52" s="78" t="str">
        <f t="shared" si="228"/>
        <v/>
      </c>
      <c r="W52" s="78" t="str">
        <f t="shared" si="228"/>
        <v/>
      </c>
      <c r="X52" s="78" t="str">
        <f t="shared" si="228"/>
        <v/>
      </c>
      <c r="Y52" s="78" t="str">
        <f t="shared" si="228"/>
        <v/>
      </c>
      <c r="Z52" s="78" t="str">
        <f t="shared" si="228"/>
        <v/>
      </c>
      <c r="AA52" s="79" t="str">
        <f t="shared" si="228"/>
        <v/>
      </c>
      <c r="AB52" s="77" t="str">
        <f t="shared" si="228"/>
        <v/>
      </c>
      <c r="AC52" s="78" t="str">
        <f t="shared" si="228"/>
        <v/>
      </c>
      <c r="AD52" s="78" t="str">
        <f t="shared" si="228"/>
        <v/>
      </c>
      <c r="AE52" s="78" t="str">
        <f t="shared" si="228"/>
        <v/>
      </c>
      <c r="AF52" s="78" t="str">
        <f t="shared" si="228"/>
        <v/>
      </c>
      <c r="AG52" s="78" t="str">
        <f t="shared" si="228"/>
        <v/>
      </c>
      <c r="AH52" s="79" t="str">
        <f t="shared" si="228"/>
        <v/>
      </c>
      <c r="AI52" s="77" t="str">
        <f t="shared" si="228"/>
        <v/>
      </c>
      <c r="AJ52" s="78" t="str">
        <f t="shared" si="228"/>
        <v/>
      </c>
      <c r="AK52" s="78" t="str">
        <f t="shared" si="228"/>
        <v/>
      </c>
      <c r="AL52" s="78" t="str">
        <f t="shared" si="228"/>
        <v/>
      </c>
      <c r="AM52" s="78" t="str">
        <f t="shared" si="228"/>
        <v/>
      </c>
      <c r="AN52" s="78" t="str">
        <f t="shared" si="228"/>
        <v/>
      </c>
      <c r="AO52" s="79" t="str">
        <f t="shared" si="228"/>
        <v/>
      </c>
      <c r="AP52" s="77" t="str">
        <f t="shared" si="228"/>
        <v/>
      </c>
      <c r="AQ52" s="78" t="str">
        <f t="shared" si="228"/>
        <v/>
      </c>
      <c r="AR52" s="78" t="str">
        <f t="shared" si="228"/>
        <v/>
      </c>
      <c r="AS52" s="78" t="str">
        <f t="shared" si="228"/>
        <v/>
      </c>
      <c r="AT52" s="78" t="str">
        <f t="shared" si="228"/>
        <v/>
      </c>
      <c r="AU52" s="78" t="str">
        <f t="shared" si="228"/>
        <v/>
      </c>
      <c r="AV52" s="79" t="str">
        <f t="shared" si="228"/>
        <v/>
      </c>
      <c r="AW52" s="77" t="str">
        <f t="shared" si="228"/>
        <v/>
      </c>
      <c r="AX52" s="78" t="str">
        <f t="shared" si="228"/>
        <v/>
      </c>
      <c r="AY52" s="78" t="str">
        <f t="shared" si="228"/>
        <v/>
      </c>
      <c r="AZ52" s="78" t="str">
        <f t="shared" si="228"/>
        <v/>
      </c>
      <c r="BA52" s="78" t="str">
        <f t="shared" si="228"/>
        <v/>
      </c>
      <c r="BB52" s="78" t="str">
        <f t="shared" si="228"/>
        <v/>
      </c>
      <c r="BC52" s="79" t="str">
        <f t="shared" si="228"/>
        <v/>
      </c>
      <c r="BD52" s="77" t="str">
        <f t="shared" si="228"/>
        <v/>
      </c>
      <c r="BE52" s="78" t="str">
        <f t="shared" si="228"/>
        <v/>
      </c>
      <c r="BF52" s="78" t="str">
        <f t="shared" si="228"/>
        <v/>
      </c>
      <c r="BG52" s="78" t="str">
        <f t="shared" si="228"/>
        <v/>
      </c>
      <c r="BH52" s="78" t="str">
        <f t="shared" si="228"/>
        <v/>
      </c>
      <c r="BI52" s="78" t="str">
        <f t="shared" si="228"/>
        <v/>
      </c>
      <c r="BJ52" s="79" t="str">
        <f t="shared" si="228"/>
        <v/>
      </c>
      <c r="BK52" s="77" t="str">
        <f t="shared" si="228"/>
        <v/>
      </c>
      <c r="BL52" s="78" t="str">
        <f t="shared" si="228"/>
        <v/>
      </c>
      <c r="BM52" s="78" t="str">
        <f t="shared" si="228"/>
        <v/>
      </c>
      <c r="BN52" s="78" t="str">
        <f t="shared" si="228"/>
        <v/>
      </c>
      <c r="BO52" s="78" t="str">
        <f t="shared" si="228"/>
        <v/>
      </c>
      <c r="BP52" s="78" t="str">
        <f t="shared" si="228"/>
        <v/>
      </c>
      <c r="BQ52" s="79" t="str">
        <f t="shared" si="228"/>
        <v/>
      </c>
      <c r="BR52" s="93" t="str">
        <f t="shared" si="228"/>
        <v/>
      </c>
      <c r="BS52" s="93" t="str">
        <f t="shared" si="228"/>
        <v/>
      </c>
      <c r="BT52" s="93" t="str">
        <f t="shared" si="228"/>
        <v/>
      </c>
      <c r="BU52" s="93" t="str">
        <f t="shared" si="228"/>
        <v/>
      </c>
      <c r="BV52" s="93" t="str">
        <f t="shared" si="228"/>
        <v/>
      </c>
      <c r="BW52" s="93" t="str">
        <f t="shared" si="228"/>
        <v/>
      </c>
      <c r="BX52" s="93" t="str">
        <f t="shared" si="228"/>
        <v/>
      </c>
      <c r="BY52" s="93" t="e">
        <f t="shared" si="228"/>
        <v>#REF!</v>
      </c>
      <c r="BZ52" s="93" t="e">
        <f t="shared" ref="BZ52:DG52" si="229">IF($I52=BZ$8,"t","")</f>
        <v>#REF!</v>
      </c>
      <c r="CA52" s="93" t="e">
        <f t="shared" si="229"/>
        <v>#REF!</v>
      </c>
      <c r="CB52" s="93" t="e">
        <f t="shared" si="229"/>
        <v>#REF!</v>
      </c>
      <c r="CC52" s="93" t="e">
        <f t="shared" si="229"/>
        <v>#REF!</v>
      </c>
      <c r="CD52" s="102" t="e">
        <f t="shared" si="229"/>
        <v>#REF!</v>
      </c>
      <c r="CE52" s="93" t="e">
        <f t="shared" si="229"/>
        <v>#REF!</v>
      </c>
      <c r="CF52" s="93" t="e">
        <f t="shared" si="229"/>
        <v>#REF!</v>
      </c>
      <c r="CG52" s="93" t="e">
        <f t="shared" si="229"/>
        <v>#REF!</v>
      </c>
      <c r="CH52" s="104" t="e">
        <f t="shared" si="229"/>
        <v>#REF!</v>
      </c>
      <c r="CI52" s="102" t="e">
        <f t="shared" si="229"/>
        <v>#REF!</v>
      </c>
      <c r="CJ52" s="93" t="e">
        <f t="shared" si="229"/>
        <v>#REF!</v>
      </c>
      <c r="CK52" s="93" t="e">
        <f t="shared" si="229"/>
        <v>#REF!</v>
      </c>
      <c r="CL52" s="93" t="e">
        <f t="shared" si="229"/>
        <v>#REF!</v>
      </c>
      <c r="CM52" s="104" t="e">
        <f t="shared" si="229"/>
        <v>#REF!</v>
      </c>
      <c r="CN52" s="102" t="e">
        <f t="shared" si="229"/>
        <v>#REF!</v>
      </c>
      <c r="CO52" s="93" t="e">
        <f t="shared" si="229"/>
        <v>#REF!</v>
      </c>
      <c r="CP52" s="93" t="e">
        <f t="shared" si="229"/>
        <v>#REF!</v>
      </c>
      <c r="CQ52" s="93" t="e">
        <f t="shared" si="229"/>
        <v>#REF!</v>
      </c>
      <c r="CR52" s="104" t="e">
        <f t="shared" si="229"/>
        <v>#REF!</v>
      </c>
      <c r="CS52" s="102" t="e">
        <f t="shared" si="229"/>
        <v>#REF!</v>
      </c>
      <c r="CT52" s="93" t="e">
        <f t="shared" si="229"/>
        <v>#REF!</v>
      </c>
      <c r="CU52" s="93" t="e">
        <f t="shared" si="229"/>
        <v>#REF!</v>
      </c>
      <c r="CV52" s="93" t="e">
        <f t="shared" si="229"/>
        <v>#REF!</v>
      </c>
      <c r="CW52" s="104" t="e">
        <f t="shared" si="229"/>
        <v>#REF!</v>
      </c>
      <c r="CX52" s="102" t="e">
        <f t="shared" si="229"/>
        <v>#REF!</v>
      </c>
      <c r="CY52" s="93" t="e">
        <f t="shared" si="229"/>
        <v>#REF!</v>
      </c>
      <c r="CZ52" s="93" t="e">
        <f t="shared" si="229"/>
        <v>#REF!</v>
      </c>
      <c r="DA52" s="93" t="e">
        <f t="shared" si="229"/>
        <v>#REF!</v>
      </c>
      <c r="DB52" s="104" t="e">
        <f t="shared" si="229"/>
        <v>#REF!</v>
      </c>
      <c r="DC52" s="102" t="e">
        <f t="shared" si="229"/>
        <v>#REF!</v>
      </c>
      <c r="DD52" s="93" t="e">
        <f t="shared" si="229"/>
        <v>#REF!</v>
      </c>
      <c r="DE52" s="93" t="e">
        <f t="shared" si="229"/>
        <v>#REF!</v>
      </c>
      <c r="DF52" s="93" t="e">
        <f t="shared" si="229"/>
        <v>#REF!</v>
      </c>
      <c r="DG52" s="104" t="e">
        <f t="shared" si="229"/>
        <v>#REF!</v>
      </c>
      <c r="DH52" s="107"/>
      <c r="DI52" s="106"/>
    </row>
    <row r="58" spans="1:114" x14ac:dyDescent="0.25">
      <c r="H58">
        <v>2857</v>
      </c>
    </row>
    <row r="59" spans="1:114" x14ac:dyDescent="0.25">
      <c r="H59">
        <v>455</v>
      </c>
    </row>
    <row r="60" spans="1:114" x14ac:dyDescent="0.25">
      <c r="H60">
        <f>SUM(H58:H59)</f>
        <v>3312</v>
      </c>
    </row>
    <row r="61" spans="1:114" x14ac:dyDescent="0.25">
      <c r="DJ61" s="93" t="e">
        <f>IF(#REF!=DA$8,"t","")</f>
        <v>#REF!</v>
      </c>
    </row>
    <row r="62" spans="1:114" x14ac:dyDescent="0.25">
      <c r="DJ62" s="93" t="e">
        <f>IF(#REF!=DA$8,"t","")</f>
        <v>#REF!</v>
      </c>
    </row>
    <row r="63" spans="1:114" x14ac:dyDescent="0.25">
      <c r="DJ63" s="93" t="e">
        <f>IF(#REF!=DA$8,"t","")</f>
        <v>#REF!</v>
      </c>
    </row>
    <row r="64" spans="1:114" x14ac:dyDescent="0.25">
      <c r="DJ64" s="93" t="e">
        <f>IF(#REF!=DA$8,"t","")</f>
        <v>#REF!</v>
      </c>
    </row>
  </sheetData>
  <sheetProtection formatCells="0" formatColumns="0" formatRows="0" insertRows="0" deleteRows="0"/>
  <mergeCells count="47">
    <mergeCell ref="N1:P1"/>
    <mergeCell ref="N2:P2"/>
    <mergeCell ref="A5:E5"/>
    <mergeCell ref="N6:T6"/>
    <mergeCell ref="U6:AA6"/>
    <mergeCell ref="AB6:AH6"/>
    <mergeCell ref="AI6:AO6"/>
    <mergeCell ref="AP6:AV6"/>
    <mergeCell ref="AW6:BC6"/>
    <mergeCell ref="BD6:BJ6"/>
    <mergeCell ref="BK6:BQ6"/>
    <mergeCell ref="BR6:BX6"/>
    <mergeCell ref="BY6:CC6"/>
    <mergeCell ref="CD6:CH6"/>
    <mergeCell ref="CI6:CM6"/>
    <mergeCell ref="CN6:CR6"/>
    <mergeCell ref="CS6:CW6"/>
    <mergeCell ref="CX6:DB6"/>
    <mergeCell ref="DC6:DG6"/>
    <mergeCell ref="N7:T7"/>
    <mergeCell ref="U7:AA7"/>
    <mergeCell ref="AB7:AH7"/>
    <mergeCell ref="AI7:AO7"/>
    <mergeCell ref="AP7:AV7"/>
    <mergeCell ref="AW7:BC7"/>
    <mergeCell ref="BD7:BJ7"/>
    <mergeCell ref="BK7:BQ7"/>
    <mergeCell ref="BR7:BX7"/>
    <mergeCell ref="BY7:CC7"/>
    <mergeCell ref="CD7:CH7"/>
    <mergeCell ref="CI7:CM7"/>
    <mergeCell ref="CX7:DB7"/>
    <mergeCell ref="DC7:DG7"/>
    <mergeCell ref="F8:F9"/>
    <mergeCell ref="G8:G9"/>
    <mergeCell ref="H8:H9"/>
    <mergeCell ref="I8:I9"/>
    <mergeCell ref="K8:K9"/>
    <mergeCell ref="L8:L9"/>
    <mergeCell ref="E8:E9"/>
    <mergeCell ref="C8:C9"/>
    <mergeCell ref="A8:A9"/>
    <mergeCell ref="CN7:CR7"/>
    <mergeCell ref="CS7:CW7"/>
    <mergeCell ref="B8:B9"/>
    <mergeCell ref="J8:J9"/>
    <mergeCell ref="D8:D9"/>
  </mergeCells>
  <phoneticPr fontId="15" type="noConversion"/>
  <conditionalFormatting sqref="B45">
    <cfRule type="duplicateValues" dxfId="49" priority="56"/>
  </conditionalFormatting>
  <conditionalFormatting sqref="B48 B11:B20">
    <cfRule type="duplicateValues" dxfId="48" priority="5759"/>
  </conditionalFormatting>
  <conditionalFormatting sqref="H10 H46">
    <cfRule type="dataBar" priority="5649">
      <dataBar>
        <cfvo type="num" val="0"/>
        <cfvo type="num" val="1"/>
        <color rgb="FF7030A0"/>
      </dataBar>
      <extLst>
        <ext xmlns:x14="http://schemas.microsoft.com/office/spreadsheetml/2009/9/main" uri="{B025F937-C7B1-47D3-B67F-A62EFF666E3E}">
          <x14:id>{51572E58-5CEE-4965-93BA-7CF1C9C818ED}</x14:id>
        </ext>
      </extLst>
    </cfRule>
  </conditionalFormatting>
  <conditionalFormatting sqref="H11:H30 H43">
    <cfRule type="dataBar" priority="155">
      <dataBar>
        <cfvo type="num" val="0"/>
        <cfvo type="num" val="1"/>
        <color rgb="FF7030A0"/>
      </dataBar>
      <extLst>
        <ext xmlns:x14="http://schemas.microsoft.com/office/spreadsheetml/2009/9/main" uri="{B025F937-C7B1-47D3-B67F-A62EFF666E3E}">
          <x14:id>{75C31984-9C4C-41A1-B1F4-109716BE3AF7}</x14:id>
        </ext>
      </extLst>
    </cfRule>
  </conditionalFormatting>
  <conditionalFormatting sqref="H31">
    <cfRule type="dataBar" priority="29">
      <dataBar>
        <cfvo type="num" val="0"/>
        <cfvo type="num" val="1"/>
        <color rgb="FF7030A0"/>
      </dataBar>
      <extLst>
        <ext xmlns:x14="http://schemas.microsoft.com/office/spreadsheetml/2009/9/main" uri="{B025F937-C7B1-47D3-B67F-A62EFF666E3E}">
          <x14:id>{235A7CB3-3E5A-44A1-B79A-D3CF3E45B7A3}</x14:id>
        </ext>
      </extLst>
    </cfRule>
  </conditionalFormatting>
  <conditionalFormatting sqref="H32 H36 H40:H42">
    <cfRule type="dataBar" priority="22">
      <dataBar>
        <cfvo type="num" val="0"/>
        <cfvo type="num" val="1"/>
        <color rgb="FF7030A0"/>
      </dataBar>
      <extLst>
        <ext xmlns:x14="http://schemas.microsoft.com/office/spreadsheetml/2009/9/main" uri="{B025F937-C7B1-47D3-B67F-A62EFF666E3E}">
          <x14:id>{6F194457-C49C-48EE-BA90-9F0D3B79CEB9}</x14:id>
        </ext>
      </extLst>
    </cfRule>
  </conditionalFormatting>
  <conditionalFormatting sqref="H33:H35">
    <cfRule type="dataBar" priority="15">
      <dataBar>
        <cfvo type="num" val="0"/>
        <cfvo type="num" val="1"/>
        <color rgb="FF7030A0"/>
      </dataBar>
      <extLst>
        <ext xmlns:x14="http://schemas.microsoft.com/office/spreadsheetml/2009/9/main" uri="{B025F937-C7B1-47D3-B67F-A62EFF666E3E}">
          <x14:id>{96159832-269B-4E8E-83A8-7F0497384F75}</x14:id>
        </ext>
      </extLst>
    </cfRule>
  </conditionalFormatting>
  <conditionalFormatting sqref="H37:H38">
    <cfRule type="dataBar" priority="8">
      <dataBar>
        <cfvo type="num" val="0"/>
        <cfvo type="num" val="1"/>
        <color rgb="FF7030A0"/>
      </dataBar>
      <extLst>
        <ext xmlns:x14="http://schemas.microsoft.com/office/spreadsheetml/2009/9/main" uri="{B025F937-C7B1-47D3-B67F-A62EFF666E3E}">
          <x14:id>{A1643704-7B91-4DAA-827F-C81D15334D55}</x14:id>
        </ext>
      </extLst>
    </cfRule>
  </conditionalFormatting>
  <conditionalFormatting sqref="H39">
    <cfRule type="dataBar" priority="1">
      <dataBar>
        <cfvo type="num" val="0"/>
        <cfvo type="num" val="1"/>
        <color rgb="FF7030A0"/>
      </dataBar>
      <extLst>
        <ext xmlns:x14="http://schemas.microsoft.com/office/spreadsheetml/2009/9/main" uri="{B025F937-C7B1-47D3-B67F-A62EFF666E3E}">
          <x14:id>{64F67566-1959-4C6E-B00E-AE77E240F4C7}</x14:id>
        </ext>
      </extLst>
    </cfRule>
  </conditionalFormatting>
  <conditionalFormatting sqref="H44">
    <cfRule type="dataBar" priority="55">
      <dataBar>
        <cfvo type="num" val="0"/>
        <cfvo type="num" val="1"/>
        <color rgb="FF7030A0"/>
      </dataBar>
      <extLst>
        <ext xmlns:x14="http://schemas.microsoft.com/office/spreadsheetml/2009/9/main" uri="{B025F937-C7B1-47D3-B67F-A62EFF666E3E}">
          <x14:id>{8B2C1756-E249-4CCB-BC04-1E81B102984F}</x14:id>
        </ext>
      </extLst>
    </cfRule>
  </conditionalFormatting>
  <conditionalFormatting sqref="H45">
    <cfRule type="dataBar" priority="40">
      <dataBar>
        <cfvo type="num" val="0"/>
        <cfvo type="num" val="1"/>
        <color rgb="FF7030A0"/>
      </dataBar>
      <extLst>
        <ext xmlns:x14="http://schemas.microsoft.com/office/spreadsheetml/2009/9/main" uri="{B025F937-C7B1-47D3-B67F-A62EFF666E3E}">
          <x14:id>{184DBF44-4DD2-48B7-A698-FDD9CA04FDA3}</x14:id>
        </ext>
      </extLst>
    </cfRule>
  </conditionalFormatting>
  <conditionalFormatting sqref="H47">
    <cfRule type="dataBar" priority="39">
      <dataBar>
        <cfvo type="num" val="0"/>
        <cfvo type="num" val="1"/>
        <color rgb="FF7030A0"/>
      </dataBar>
      <extLst>
        <ext xmlns:x14="http://schemas.microsoft.com/office/spreadsheetml/2009/9/main" uri="{B025F937-C7B1-47D3-B67F-A62EFF666E3E}">
          <x14:id>{059F42EA-C9E7-4138-B3D1-C89EE2019A35}</x14:id>
        </ext>
      </extLst>
    </cfRule>
  </conditionalFormatting>
  <conditionalFormatting sqref="H48">
    <cfRule type="dataBar" priority="38">
      <dataBar>
        <cfvo type="num" val="0"/>
        <cfvo type="num" val="1"/>
        <color rgb="FF7030A0"/>
      </dataBar>
      <extLst>
        <ext xmlns:x14="http://schemas.microsoft.com/office/spreadsheetml/2009/9/main" uri="{B025F937-C7B1-47D3-B67F-A62EFF666E3E}">
          <x14:id>{D856BF92-EC5F-4CDC-832E-888480B9DFB9}</x14:id>
        </ext>
      </extLst>
    </cfRule>
  </conditionalFormatting>
  <conditionalFormatting sqref="H49">
    <cfRule type="dataBar" priority="130">
      <dataBar>
        <cfvo type="num" val="0"/>
        <cfvo type="num" val="1"/>
        <color rgb="FF7030A0"/>
      </dataBar>
      <extLst>
        <ext xmlns:x14="http://schemas.microsoft.com/office/spreadsheetml/2009/9/main" uri="{B025F937-C7B1-47D3-B67F-A62EFF666E3E}">
          <x14:id>{316E01E0-B53E-494E-8C87-FC1A56D0F16B}</x14:id>
        </ext>
      </extLst>
    </cfRule>
  </conditionalFormatting>
  <conditionalFormatting sqref="H50">
    <cfRule type="dataBar" priority="37">
      <dataBar>
        <cfvo type="num" val="0"/>
        <cfvo type="num" val="1"/>
        <color rgb="FF7030A0"/>
      </dataBar>
      <extLst>
        <ext xmlns:x14="http://schemas.microsoft.com/office/spreadsheetml/2009/9/main" uri="{B025F937-C7B1-47D3-B67F-A62EFF666E3E}">
          <x14:id>{295CF798-252A-4D15-92E8-1EF8E41480FE}</x14:id>
        </ext>
      </extLst>
    </cfRule>
  </conditionalFormatting>
  <conditionalFormatting sqref="H51">
    <cfRule type="dataBar" priority="121">
      <dataBar>
        <cfvo type="num" val="0"/>
        <cfvo type="num" val="1"/>
        <color rgb="FF7030A0"/>
      </dataBar>
      <extLst>
        <ext xmlns:x14="http://schemas.microsoft.com/office/spreadsheetml/2009/9/main" uri="{B025F937-C7B1-47D3-B67F-A62EFF666E3E}">
          <x14:id>{6D12B01D-E86A-4814-A4C1-56E15EBCACC8}</x14:id>
        </ext>
      </extLst>
    </cfRule>
  </conditionalFormatting>
  <conditionalFormatting sqref="H52">
    <cfRule type="dataBar" priority="36">
      <dataBar>
        <cfvo type="num" val="0"/>
        <cfvo type="num" val="1"/>
        <color rgb="FF7030A0"/>
      </dataBar>
      <extLst>
        <ext xmlns:x14="http://schemas.microsoft.com/office/spreadsheetml/2009/9/main" uri="{B025F937-C7B1-47D3-B67F-A62EFF666E3E}">
          <x14:id>{94BF1C05-AC87-43FE-A370-F059FF15A2B8}</x14:id>
        </ext>
      </extLst>
    </cfRule>
  </conditionalFormatting>
  <conditionalFormatting sqref="N8:BX52">
    <cfRule type="expression" dxfId="47" priority="3">
      <formula>N$8=TODAY()</formula>
    </cfRule>
  </conditionalFormatting>
  <conditionalFormatting sqref="N10:BX13">
    <cfRule type="expression" dxfId="46" priority="160">
      <formula>NOT(ISERROR(MATCH(N$8,holidays,0)))</formula>
    </cfRule>
  </conditionalFormatting>
  <conditionalFormatting sqref="N10:BX15">
    <cfRule type="expression" dxfId="45" priority="162">
      <formula>AND($F10&lt;=N$8,ROUNDDOWN(($G10-$F10+1)*$H10,0)+$F10-1&gt;=N$8)</formula>
    </cfRule>
    <cfRule type="expression" dxfId="44" priority="163">
      <formula>AND(NOT(ISBLANK($F10)),$F10&lt;=N$8,$G10&gt;=N$8)</formula>
    </cfRule>
  </conditionalFormatting>
  <conditionalFormatting sqref="N16:BX30">
    <cfRule type="expression" dxfId="43" priority="104">
      <formula>AND($F16&lt;=N$8,ROUNDDOWN(($G16-$F16+1)*$H16,0)+$F16-1&gt;=N$8)</formula>
    </cfRule>
    <cfRule type="expression" dxfId="42" priority="105">
      <formula>AND(NOT(ISBLANK($F16)),$F16&lt;=N$8,$G16&gt;=N$8)</formula>
    </cfRule>
  </conditionalFormatting>
  <conditionalFormatting sqref="N16:BX42">
    <cfRule type="expression" dxfId="41" priority="2">
      <formula>NOT(ISERROR(MATCH(N$8,holidays,0)))</formula>
    </cfRule>
  </conditionalFormatting>
  <conditionalFormatting sqref="N31:BX42">
    <cfRule type="expression" dxfId="40" priority="4">
      <formula>AND($F31&lt;=N$8,ROUNDDOWN(($G31-$F31+1)*$H31,0)+$F31-1&gt;=N$8)</formula>
    </cfRule>
    <cfRule type="expression" dxfId="39" priority="5">
      <formula>AND(NOT(ISBLANK($F31)),$F31&lt;=N$8,$G31&gt;=N$8)</formula>
    </cfRule>
  </conditionalFormatting>
  <conditionalFormatting sqref="N43:BX43 N46:BX52">
    <cfRule type="expression" dxfId="38" priority="3087">
      <formula>AND(NOT(ISBLANK($F43)),$F43&lt;=N$8,$G43&gt;=N$8)</formula>
    </cfRule>
  </conditionalFormatting>
  <conditionalFormatting sqref="N43:BX44 CD44:DG44">
    <cfRule type="expression" dxfId="37" priority="53">
      <formula>NOT(ISERROR(MATCH(N$8,holidays,0)))</formula>
    </cfRule>
  </conditionalFormatting>
  <conditionalFormatting sqref="N44:BX45">
    <cfRule type="expression" dxfId="36" priority="47">
      <formula>AND($F44&lt;=N$8,ROUNDDOWN(($G44-$F44+1)*$H44,0)+$F44-1&gt;=N$8)</formula>
    </cfRule>
    <cfRule type="expression" dxfId="35" priority="48">
      <formula>AND(NOT(ISBLANK($F44)),$F44&lt;=N$8,$G44&gt;=N$8)</formula>
    </cfRule>
  </conditionalFormatting>
  <conditionalFormatting sqref="N44:BX52">
    <cfRule type="expression" dxfId="34" priority="45">
      <formula>NOT(ISERROR(MATCH(N$8,holidays,0)))</formula>
    </cfRule>
  </conditionalFormatting>
  <conditionalFormatting sqref="N46:BX52 N43:BX43">
    <cfRule type="expression" dxfId="33" priority="3086">
      <formula>AND($F43&lt;=N$8,ROUNDDOWN(($G43-$F43+1)*$H43,0)+$F43-1&gt;=N$8)</formula>
    </cfRule>
  </conditionalFormatting>
  <conditionalFormatting sqref="N8:DG9">
    <cfRule type="expression" dxfId="32" priority="5011">
      <formula>N$8=TODAY()</formula>
    </cfRule>
  </conditionalFormatting>
  <conditionalFormatting sqref="N11:DG17">
    <cfRule type="expression" dxfId="31" priority="100">
      <formula>NOT(ISERROR(MATCH(N$8,holidays,0)))</formula>
    </cfRule>
  </conditionalFormatting>
  <conditionalFormatting sqref="N11:DG43">
    <cfRule type="expression" dxfId="30" priority="7">
      <formula>N$8=TODAY()</formula>
    </cfRule>
  </conditionalFormatting>
  <conditionalFormatting sqref="N21:DG22">
    <cfRule type="expression" dxfId="29" priority="71">
      <formula>NOT(ISERROR(MATCH(N$8,holidays,0)))</formula>
    </cfRule>
  </conditionalFormatting>
  <conditionalFormatting sqref="N31:DG42">
    <cfRule type="expression" dxfId="28" priority="6">
      <formula>NOT(ISERROR(MATCH(N$8,holidays,0)))</formula>
    </cfRule>
  </conditionalFormatting>
  <conditionalFormatting sqref="N43:DG43 N46:BX46 N48:DG48 N8:BX10 N18:DG20 N23:DG30 CD8:DG10 CD46:DG46">
    <cfRule type="expression" dxfId="27" priority="4278">
      <formula>NOT(ISERROR(MATCH(N$8,holidays,0)))</formula>
    </cfRule>
  </conditionalFormatting>
  <conditionalFormatting sqref="N45:DG45">
    <cfRule type="expression" dxfId="26" priority="43">
      <formula>NOT(ISERROR(MATCH(N$8,holidays,0)))</formula>
    </cfRule>
    <cfRule type="expression" dxfId="25" priority="44">
      <formula>N$8=TODAY()</formula>
    </cfRule>
  </conditionalFormatting>
  <conditionalFormatting sqref="N47:DG47">
    <cfRule type="expression" dxfId="24" priority="186">
      <formula>NOT(ISERROR(MATCH(N$8,holidays,0)))</formula>
    </cfRule>
  </conditionalFormatting>
  <conditionalFormatting sqref="N47:DG48">
    <cfRule type="expression" dxfId="23" priority="187">
      <formula>N$8=TODAY()</formula>
    </cfRule>
  </conditionalFormatting>
  <conditionalFormatting sqref="N50:DG50">
    <cfRule type="expression" dxfId="22" priority="210">
      <formula>NOT(ISERROR(MATCH(N$8,holidays,0)))</formula>
    </cfRule>
    <cfRule type="expression" dxfId="21" priority="211">
      <formula>N$8=TODAY()</formula>
    </cfRule>
  </conditionalFormatting>
  <conditionalFormatting sqref="N52:DG52">
    <cfRule type="expression" dxfId="20" priority="218">
      <formula>NOT(ISERROR(MATCH(N$8,holidays,0)))</formula>
    </cfRule>
    <cfRule type="expression" dxfId="19" priority="219">
      <formula>N$8=TODAY()</formula>
    </cfRule>
  </conditionalFormatting>
  <conditionalFormatting sqref="BY8:CC9">
    <cfRule type="expression" dxfId="18" priority="5012">
      <formula>NOT(ISERROR(MATCH(BY$8,holidays,0)))</formula>
    </cfRule>
    <cfRule type="expression" dxfId="17" priority="5013">
      <formula>BY$8=TODAY()</formula>
    </cfRule>
  </conditionalFormatting>
  <conditionalFormatting sqref="CD8:DG10 CD46:DG46">
    <cfRule type="expression" dxfId="16" priority="4279">
      <formula>CD$8=TODAY()</formula>
    </cfRule>
  </conditionalFormatting>
  <conditionalFormatting sqref="CD44:DG44">
    <cfRule type="expression" dxfId="15" priority="54">
      <formula>CD$8=TODAY()</formula>
    </cfRule>
  </conditionalFormatting>
  <conditionalFormatting sqref="CD49:DG49">
    <cfRule type="expression" dxfId="14" priority="128">
      <formula>NOT(ISERROR(MATCH(CD$8,holidays,0)))</formula>
    </cfRule>
    <cfRule type="expression" dxfId="13" priority="129">
      <formula>CD$8=TODAY()</formula>
    </cfRule>
  </conditionalFormatting>
  <conditionalFormatting sqref="CD51:DG51">
    <cfRule type="expression" dxfId="12" priority="119">
      <formula>NOT(ISERROR(MATCH(CD$8,holidays,0)))</formula>
    </cfRule>
    <cfRule type="expression" dxfId="11" priority="120">
      <formula>CD$8=TODAY()</formula>
    </cfRule>
  </conditionalFormatting>
  <conditionalFormatting sqref="DJ61:DJ64">
    <cfRule type="expression" dxfId="10" priority="5072">
      <formula>NOT(ISERROR(MATCH(DA$8,holidays,0)))</formula>
    </cfRule>
    <cfRule type="expression" dxfId="9" priority="5073">
      <formula>DA$8=TODAY()</formula>
    </cfRule>
    <cfRule type="expression" dxfId="8" priority="5705">
      <formula>AND(#REF!&lt;=DA$8,ROUNDDOWN((#REF!-#REF!+1)*#REF!,0)+#REF!-1&gt;=DA$8)</formula>
    </cfRule>
    <cfRule type="expression" dxfId="7" priority="5706">
      <formula>AND(NOT(ISBLANK(#REF!)),#REF!&lt;=DA$8,#REF!&gt;=DA$8)</formula>
    </cfRule>
  </conditionalFormatting>
  <dataValidations count="2">
    <dataValidation type="list" allowBlank="1" showInputMessage="1" showErrorMessage="1" sqref="J19:J20 K11:K20 J13:J14 K45 J29 K22:K42" xr:uid="{00000000-0002-0000-0100-000000000000}">
      <formula1>"退回,销项,需沟通,已发校审未返,待上传,已上传"</formula1>
    </dataValidation>
    <dataValidation type="list" allowBlank="1" showInputMessage="1" showErrorMessage="1" sqref="J11:J12 J15:J18 J22:J28 J45 J30:J42" xr:uid="{00000000-0002-0000-0100-000001000000}">
      <formula1>"退回,销项,需沟通,已通过"</formula1>
    </dataValidation>
  </dataValidations>
  <pageMargins left="0.25" right="0.25" top="0.5" bottom="0.5" header="0.5" footer="0.25"/>
  <pageSetup paperSize="9" scale="30" fitToHeight="0" orientation="portrait"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51572E58-5CEE-4965-93BA-7CF1C9C818ED}">
            <x14:dataBar minLength="0" maxLength="100" gradient="0">
              <x14:cfvo type="num">
                <xm:f>0</xm:f>
              </x14:cfvo>
              <x14:cfvo type="num">
                <xm:f>1</xm:f>
              </x14:cfvo>
              <x14:negativeFillColor rgb="FFFF0000"/>
              <x14:axisColor rgb="FF000000"/>
            </x14:dataBar>
          </x14:cfRule>
          <xm:sqref>H10 H46</xm:sqref>
        </x14:conditionalFormatting>
        <x14:conditionalFormatting xmlns:xm="http://schemas.microsoft.com/office/excel/2006/main">
          <x14:cfRule type="dataBar" id="{75C31984-9C4C-41A1-B1F4-109716BE3AF7}">
            <x14:dataBar minLength="0" maxLength="100" gradient="0">
              <x14:cfvo type="num">
                <xm:f>0</xm:f>
              </x14:cfvo>
              <x14:cfvo type="num">
                <xm:f>1</xm:f>
              </x14:cfvo>
              <x14:negativeFillColor rgb="FFFF0000"/>
              <x14:axisColor rgb="FF000000"/>
            </x14:dataBar>
          </x14:cfRule>
          <xm:sqref>H11:H30 H43</xm:sqref>
        </x14:conditionalFormatting>
        <x14:conditionalFormatting xmlns:xm="http://schemas.microsoft.com/office/excel/2006/main">
          <x14:cfRule type="dataBar" id="{235A7CB3-3E5A-44A1-B79A-D3CF3E45B7A3}">
            <x14:dataBar minLength="0" maxLength="100" gradient="0">
              <x14:cfvo type="num">
                <xm:f>0</xm:f>
              </x14:cfvo>
              <x14:cfvo type="num">
                <xm:f>1</xm:f>
              </x14:cfvo>
              <x14:negativeFillColor rgb="FFFF0000"/>
              <x14:axisColor rgb="FF000000"/>
            </x14:dataBar>
          </x14:cfRule>
          <xm:sqref>H31</xm:sqref>
        </x14:conditionalFormatting>
        <x14:conditionalFormatting xmlns:xm="http://schemas.microsoft.com/office/excel/2006/main">
          <x14:cfRule type="dataBar" id="{6F194457-C49C-48EE-BA90-9F0D3B79CEB9}">
            <x14:dataBar minLength="0" maxLength="100" gradient="0">
              <x14:cfvo type="num">
                <xm:f>0</xm:f>
              </x14:cfvo>
              <x14:cfvo type="num">
                <xm:f>1</xm:f>
              </x14:cfvo>
              <x14:negativeFillColor rgb="FFFF0000"/>
              <x14:axisColor rgb="FF000000"/>
            </x14:dataBar>
          </x14:cfRule>
          <xm:sqref>H32 H36 H40:H42</xm:sqref>
        </x14:conditionalFormatting>
        <x14:conditionalFormatting xmlns:xm="http://schemas.microsoft.com/office/excel/2006/main">
          <x14:cfRule type="dataBar" id="{96159832-269B-4E8E-83A8-7F0497384F75}">
            <x14:dataBar minLength="0" maxLength="100" gradient="0">
              <x14:cfvo type="num">
                <xm:f>0</xm:f>
              </x14:cfvo>
              <x14:cfvo type="num">
                <xm:f>1</xm:f>
              </x14:cfvo>
              <x14:negativeFillColor rgb="FFFF0000"/>
              <x14:axisColor rgb="FF000000"/>
            </x14:dataBar>
          </x14:cfRule>
          <xm:sqref>H33:H35</xm:sqref>
        </x14:conditionalFormatting>
        <x14:conditionalFormatting xmlns:xm="http://schemas.microsoft.com/office/excel/2006/main">
          <x14:cfRule type="dataBar" id="{A1643704-7B91-4DAA-827F-C81D15334D55}">
            <x14:dataBar minLength="0" maxLength="100" gradient="0">
              <x14:cfvo type="num">
                <xm:f>0</xm:f>
              </x14:cfvo>
              <x14:cfvo type="num">
                <xm:f>1</xm:f>
              </x14:cfvo>
              <x14:negativeFillColor rgb="FFFF0000"/>
              <x14:axisColor rgb="FF000000"/>
            </x14:dataBar>
          </x14:cfRule>
          <xm:sqref>H37:H38</xm:sqref>
        </x14:conditionalFormatting>
        <x14:conditionalFormatting xmlns:xm="http://schemas.microsoft.com/office/excel/2006/main">
          <x14:cfRule type="dataBar" id="{64F67566-1959-4C6E-B00E-AE77E240F4C7}">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8B2C1756-E249-4CCB-BC04-1E81B102984F}">
            <x14:dataBar minLength="0" maxLength="100" gradient="0">
              <x14:cfvo type="num">
                <xm:f>0</xm:f>
              </x14:cfvo>
              <x14:cfvo type="num">
                <xm:f>1</xm:f>
              </x14:cfvo>
              <x14:negativeFillColor rgb="FFFF0000"/>
              <x14:axisColor rgb="FF000000"/>
            </x14:dataBar>
          </x14:cfRule>
          <xm:sqref>H44</xm:sqref>
        </x14:conditionalFormatting>
        <x14:conditionalFormatting xmlns:xm="http://schemas.microsoft.com/office/excel/2006/main">
          <x14:cfRule type="dataBar" id="{184DBF44-4DD2-48B7-A698-FDD9CA04FDA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059F42EA-C9E7-4138-B3D1-C89EE2019A35}">
            <x14:dataBar minLength="0" maxLength="100" gradient="0">
              <x14:cfvo type="num">
                <xm:f>0</xm:f>
              </x14:cfvo>
              <x14:cfvo type="num">
                <xm:f>1</xm:f>
              </x14:cfvo>
              <x14:negativeFillColor rgb="FFFF0000"/>
              <x14:axisColor rgb="FF000000"/>
            </x14:dataBar>
          </x14:cfRule>
          <xm:sqref>H47</xm:sqref>
        </x14:conditionalFormatting>
        <x14:conditionalFormatting xmlns:xm="http://schemas.microsoft.com/office/excel/2006/main">
          <x14:cfRule type="dataBar" id="{D856BF92-EC5F-4CDC-832E-888480B9DFB9}">
            <x14:dataBar minLength="0" maxLength="100" gradient="0">
              <x14:cfvo type="num">
                <xm:f>0</xm:f>
              </x14:cfvo>
              <x14:cfvo type="num">
                <xm:f>1</xm:f>
              </x14:cfvo>
              <x14:negativeFillColor rgb="FFFF0000"/>
              <x14:axisColor rgb="FF000000"/>
            </x14:dataBar>
          </x14:cfRule>
          <xm:sqref>H48</xm:sqref>
        </x14:conditionalFormatting>
        <x14:conditionalFormatting xmlns:xm="http://schemas.microsoft.com/office/excel/2006/main">
          <x14:cfRule type="dataBar" id="{316E01E0-B53E-494E-8C87-FC1A56D0F16B}">
            <x14:dataBar minLength="0" maxLength="100" gradient="0">
              <x14:cfvo type="num">
                <xm:f>0</xm:f>
              </x14:cfvo>
              <x14:cfvo type="num">
                <xm:f>1</xm:f>
              </x14:cfvo>
              <x14:negativeFillColor rgb="FFFF0000"/>
              <x14:axisColor rgb="FF000000"/>
            </x14:dataBar>
          </x14:cfRule>
          <xm:sqref>H49</xm:sqref>
        </x14:conditionalFormatting>
        <x14:conditionalFormatting xmlns:xm="http://schemas.microsoft.com/office/excel/2006/main">
          <x14:cfRule type="dataBar" id="{295CF798-252A-4D15-92E8-1EF8E41480FE}">
            <x14:dataBar minLength="0" maxLength="100" gradient="0">
              <x14:cfvo type="num">
                <xm:f>0</xm:f>
              </x14:cfvo>
              <x14:cfvo type="num">
                <xm:f>1</xm:f>
              </x14:cfvo>
              <x14:negativeFillColor rgb="FFFF0000"/>
              <x14:axisColor rgb="FF000000"/>
            </x14:dataBar>
          </x14:cfRule>
          <xm:sqref>H50</xm:sqref>
        </x14:conditionalFormatting>
        <x14:conditionalFormatting xmlns:xm="http://schemas.microsoft.com/office/excel/2006/main">
          <x14:cfRule type="dataBar" id="{6D12B01D-E86A-4814-A4C1-56E15EBCACC8}">
            <x14:dataBar minLength="0" maxLength="100" gradient="0">
              <x14:cfvo type="num">
                <xm:f>0</xm:f>
              </x14:cfvo>
              <x14:cfvo type="num">
                <xm:f>1</xm:f>
              </x14:cfvo>
              <x14:negativeFillColor rgb="FFFF0000"/>
              <x14:axisColor rgb="FF000000"/>
            </x14:dataBar>
          </x14:cfRule>
          <xm:sqref>H51</xm:sqref>
        </x14:conditionalFormatting>
        <x14:conditionalFormatting xmlns:xm="http://schemas.microsoft.com/office/excel/2006/main">
          <x14:cfRule type="dataBar" id="{94BF1C05-AC87-43FE-A370-F059FF15A2B8}">
            <x14:dataBar minLength="0" maxLength="100" gradient="0">
              <x14:cfvo type="num">
                <xm:f>0</xm:f>
              </x14:cfvo>
              <x14:cfvo type="num">
                <xm:f>1</xm:f>
              </x14:cfvo>
              <x14:negativeFillColor rgb="FFFF0000"/>
              <x14:axisColor rgb="FF000000"/>
            </x14:dataBar>
          </x14:cfRule>
          <xm:sqref>H52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B2:M49"/>
  <sheetViews>
    <sheetView topLeftCell="A22" workbookViewId="0">
      <selection activeCell="C19" sqref="C19"/>
    </sheetView>
  </sheetViews>
  <sheetFormatPr defaultColWidth="9" defaultRowHeight="12.5" x14ac:dyDescent="0.25"/>
  <cols>
    <col min="1" max="1" width="3.81640625" customWidth="1"/>
    <col min="2" max="2" width="48.81640625" customWidth="1"/>
    <col min="3" max="3" width="13.453125" customWidth="1"/>
  </cols>
  <sheetData>
    <row r="2" spans="2:5" x14ac:dyDescent="0.25">
      <c r="B2" t="s">
        <v>7</v>
      </c>
    </row>
    <row r="3" spans="2:5" x14ac:dyDescent="0.25">
      <c r="B3" t="s">
        <v>8</v>
      </c>
    </row>
    <row r="4" spans="2:5" x14ac:dyDescent="0.25">
      <c r="B4" t="s">
        <v>9</v>
      </c>
    </row>
    <row r="5" spans="2:5" x14ac:dyDescent="0.25">
      <c r="B5" t="s">
        <v>10</v>
      </c>
    </row>
    <row r="6" spans="2:5" x14ac:dyDescent="0.25">
      <c r="B6" t="s">
        <v>11</v>
      </c>
    </row>
    <row r="7" spans="2:5" x14ac:dyDescent="0.25">
      <c r="B7" t="s">
        <v>12</v>
      </c>
    </row>
    <row r="8" spans="2:5" x14ac:dyDescent="0.25">
      <c r="B8" t="s">
        <v>13</v>
      </c>
    </row>
    <row r="9" spans="2:5" x14ac:dyDescent="0.25">
      <c r="B9" t="s">
        <v>14</v>
      </c>
    </row>
    <row r="10" spans="2:5" x14ac:dyDescent="0.25">
      <c r="B10" t="s">
        <v>15</v>
      </c>
    </row>
    <row r="11" spans="2:5" x14ac:dyDescent="0.25">
      <c r="B11" t="s">
        <v>16</v>
      </c>
    </row>
    <row r="12" spans="2:5" x14ac:dyDescent="0.25">
      <c r="B12" t="s">
        <v>17</v>
      </c>
    </row>
    <row r="16" spans="2:5" ht="13" x14ac:dyDescent="0.3">
      <c r="B16" s="11" t="s">
        <v>18</v>
      </c>
      <c r="C16" s="12"/>
      <c r="D16" s="12"/>
      <c r="E16" s="12"/>
    </row>
    <row r="18" spans="2:13" ht="13" x14ac:dyDescent="0.25">
      <c r="B18" s="13" t="s">
        <v>19</v>
      </c>
      <c r="C18" s="151">
        <v>45962</v>
      </c>
      <c r="D18" s="152"/>
      <c r="E18" s="153"/>
    </row>
    <row r="20" spans="2:13" x14ac:dyDescent="0.25">
      <c r="K20" s="24"/>
      <c r="M20" s="28"/>
    </row>
    <row r="21" spans="2:13" ht="13" x14ac:dyDescent="0.3">
      <c r="B21" s="14" t="s">
        <v>20</v>
      </c>
      <c r="C21" s="15"/>
      <c r="K21" s="24"/>
      <c r="M21" s="28"/>
    </row>
    <row r="22" spans="2:13" x14ac:dyDescent="0.25">
      <c r="C22" s="16"/>
      <c r="K22" s="24"/>
      <c r="M22" s="28"/>
    </row>
    <row r="23" spans="2:13" x14ac:dyDescent="0.25">
      <c r="C23" s="16"/>
      <c r="K23" s="24"/>
      <c r="M23" s="28"/>
    </row>
    <row r="24" spans="2:13" x14ac:dyDescent="0.25">
      <c r="C24" s="16"/>
      <c r="K24" s="24"/>
      <c r="M24" s="28"/>
    </row>
    <row r="25" spans="2:13" x14ac:dyDescent="0.25">
      <c r="C25" s="16"/>
      <c r="K25" s="24"/>
      <c r="M25" s="28"/>
    </row>
    <row r="26" spans="2:13" x14ac:dyDescent="0.25">
      <c r="C26" s="16"/>
      <c r="K26" s="24"/>
      <c r="M26" s="28"/>
    </row>
    <row r="27" spans="2:13" x14ac:dyDescent="0.25">
      <c r="C27" s="16"/>
      <c r="K27" s="24"/>
      <c r="M27" s="28"/>
    </row>
    <row r="28" spans="2:13" x14ac:dyDescent="0.25">
      <c r="C28" s="16"/>
      <c r="K28" s="24"/>
      <c r="M28" s="28"/>
    </row>
    <row r="29" spans="2:13" x14ac:dyDescent="0.25">
      <c r="C29" s="16"/>
      <c r="K29" s="24"/>
      <c r="M29" s="28"/>
    </row>
    <row r="30" spans="2:13" x14ac:dyDescent="0.25">
      <c r="C30" s="16"/>
      <c r="K30" s="24"/>
      <c r="M30" s="28"/>
    </row>
    <row r="31" spans="2:13" x14ac:dyDescent="0.25">
      <c r="C31" s="16"/>
      <c r="K31" s="24"/>
      <c r="M31" s="28"/>
    </row>
    <row r="32" spans="2:13" x14ac:dyDescent="0.25">
      <c r="C32" s="16"/>
      <c r="K32" s="24"/>
      <c r="M32" s="28"/>
    </row>
    <row r="33" spans="2:13" x14ac:dyDescent="0.25">
      <c r="C33" s="16"/>
      <c r="K33" s="24"/>
      <c r="M33" s="28"/>
    </row>
    <row r="34" spans="2:13" x14ac:dyDescent="0.25">
      <c r="C34" s="16"/>
      <c r="K34" s="24"/>
      <c r="M34" s="28"/>
    </row>
    <row r="35" spans="2:13" x14ac:dyDescent="0.25">
      <c r="C35" s="16"/>
      <c r="K35" s="24"/>
      <c r="M35" s="28"/>
    </row>
    <row r="36" spans="2:13" x14ac:dyDescent="0.25">
      <c r="C36" s="16"/>
      <c r="K36" s="24"/>
      <c r="M36" s="28"/>
    </row>
    <row r="37" spans="2:13" x14ac:dyDescent="0.25">
      <c r="C37" s="16"/>
      <c r="K37" s="24"/>
      <c r="M37" s="28"/>
    </row>
    <row r="38" spans="2:13" x14ac:dyDescent="0.25">
      <c r="C38" s="16"/>
      <c r="K38" s="24"/>
      <c r="M38" s="28"/>
    </row>
    <row r="39" spans="2:13" x14ac:dyDescent="0.25">
      <c r="C39" s="16"/>
      <c r="K39" s="24"/>
      <c r="M39" s="28"/>
    </row>
    <row r="40" spans="2:13" x14ac:dyDescent="0.25">
      <c r="C40" s="17"/>
      <c r="K40" s="24"/>
      <c r="M40" s="28"/>
    </row>
    <row r="41" spans="2:13" x14ac:dyDescent="0.25">
      <c r="C41" s="18"/>
      <c r="K41" s="24"/>
      <c r="M41" s="28"/>
    </row>
    <row r="42" spans="2:13" x14ac:dyDescent="0.25">
      <c r="B42" s="19" t="s">
        <v>21</v>
      </c>
      <c r="C42" s="20"/>
      <c r="D42" s="21"/>
      <c r="E42" s="21"/>
      <c r="K42" s="24"/>
      <c r="M42" s="28"/>
    </row>
    <row r="43" spans="2:13" x14ac:dyDescent="0.25">
      <c r="B43" s="20" t="s">
        <v>22</v>
      </c>
      <c r="C43" s="22">
        <v>44928</v>
      </c>
      <c r="D43" t="s">
        <v>23</v>
      </c>
      <c r="E43" s="21"/>
      <c r="K43" s="24"/>
      <c r="M43" s="28"/>
    </row>
    <row r="44" spans="2:13" x14ac:dyDescent="0.25">
      <c r="B44" s="20"/>
      <c r="C44" s="23"/>
      <c r="E44" s="21"/>
      <c r="H44" s="24"/>
      <c r="K44" s="24"/>
      <c r="M44" s="28"/>
    </row>
    <row r="45" spans="2:13" x14ac:dyDescent="0.25">
      <c r="B45" s="20" t="s">
        <v>22</v>
      </c>
      <c r="C45" s="23">
        <v>44928</v>
      </c>
      <c r="D45" t="s">
        <v>24</v>
      </c>
      <c r="E45" s="21"/>
      <c r="H45" s="24"/>
      <c r="K45" s="24"/>
      <c r="M45" s="28"/>
    </row>
    <row r="46" spans="2:13" x14ac:dyDescent="0.25">
      <c r="B46" s="20"/>
      <c r="C46" s="25"/>
      <c r="E46" s="21"/>
    </row>
    <row r="47" spans="2:13" x14ac:dyDescent="0.25">
      <c r="B47" s="20"/>
      <c r="C47" s="26"/>
      <c r="E47" s="21"/>
    </row>
    <row r="48" spans="2:13" x14ac:dyDescent="0.25">
      <c r="C48" s="27"/>
    </row>
    <row r="49" spans="3:3" x14ac:dyDescent="0.25">
      <c r="C49" s="27"/>
    </row>
  </sheetData>
  <mergeCells count="1">
    <mergeCell ref="C18:E18"/>
  </mergeCells>
  <phoneticPr fontId="15" type="noConversion"/>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3"/>
  <sheetViews>
    <sheetView topLeftCell="B13" workbookViewId="0">
      <selection activeCell="W20" sqref="W20"/>
    </sheetView>
  </sheetViews>
  <sheetFormatPr defaultRowHeight="12.5" x14ac:dyDescent="0.25"/>
  <cols>
    <col min="1" max="1" width="14.1796875" bestFit="1" customWidth="1"/>
    <col min="2" max="4" width="17.26953125" customWidth="1"/>
    <col min="8" max="8" width="22.54296875" customWidth="1"/>
    <col min="9" max="9" width="13.1796875" customWidth="1"/>
    <col min="10" max="12" width="9.90625" customWidth="1"/>
    <col min="14" max="14" width="12.36328125" style="127" customWidth="1"/>
    <col min="21" max="21" width="22.7265625" customWidth="1"/>
  </cols>
  <sheetData>
    <row r="1" spans="1:24" s="124" customFormat="1" ht="14.5" x14ac:dyDescent="0.25">
      <c r="A1" s="128">
        <f>MATCH(A$2,'Project List'!$2:$2,0)</f>
        <v>1</v>
      </c>
      <c r="B1" s="128">
        <f>_xlfn.IFNA(MATCH(B$2,'Project List'!$2:$2,0),-1)</f>
        <v>2</v>
      </c>
      <c r="C1" s="128">
        <f>_xlfn.IFNA(MATCH(C$2,'Project List'!$2:$2,0),-1)</f>
        <v>20</v>
      </c>
      <c r="D1" s="128">
        <f>_xlfn.IFNA(MATCH(D$2,'Project List'!$2:$2,0),-1)</f>
        <v>11</v>
      </c>
      <c r="E1" s="128">
        <f>_xlfn.IFNA(MATCH(E$2,'Project List'!$2:$2,0),-1)</f>
        <v>8</v>
      </c>
      <c r="F1" s="128">
        <f>_xlfn.IFNA(MATCH(F$2,'Project List'!$2:$2,0),-1)</f>
        <v>11</v>
      </c>
      <c r="G1" s="128">
        <f>_xlfn.IFNA(MATCH(G$2,'Project List'!$2:$2,0),-1)</f>
        <v>12</v>
      </c>
      <c r="H1" s="128">
        <f>_xlfn.IFNA(MATCH(H$2,'Project List'!$2:$2,0),-1)</f>
        <v>13</v>
      </c>
      <c r="I1" s="128">
        <f>_xlfn.IFNA(MATCH(I$2,'Project List'!$2:$2,0),-1)</f>
        <v>-1</v>
      </c>
      <c r="J1" s="128">
        <f>_xlfn.IFNA(MATCH(J$2,'Project List'!$2:$2,0),-1)</f>
        <v>25</v>
      </c>
      <c r="K1" s="128">
        <f>_xlfn.IFNA(MATCH(K$2,'Project List'!$2:$2,0),-1)</f>
        <v>26</v>
      </c>
      <c r="L1" s="128">
        <f>_xlfn.IFNA(MATCH(L$2,'Project List'!$2:$2,0),-1)</f>
        <v>27</v>
      </c>
      <c r="M1" s="128">
        <f>_xlfn.IFNA(MATCH(M$2,'Project List'!$2:$2,0),-1)</f>
        <v>-1</v>
      </c>
      <c r="N1" s="128">
        <f>_xlfn.IFNA(MATCH(N$2,'Project List'!$2:$2,0),-1)</f>
        <v>-1</v>
      </c>
      <c r="O1" s="128">
        <f>_xlfn.IFNA(MATCH(O$2,'Project List'!$2:$2,0),-1)</f>
        <v>-1</v>
      </c>
      <c r="P1" s="128">
        <f>_xlfn.IFNA(MATCH(P$2,'Project List'!$2:$2,0),-1)</f>
        <v>30</v>
      </c>
      <c r="Q1" s="128">
        <f>_xlfn.IFNA(MATCH(Q$2,'Project List'!$2:$2,0),-1)</f>
        <v>31</v>
      </c>
      <c r="R1" s="128">
        <f>_xlfn.IFNA(MATCH(R$2,'Project List'!$2:$2,0),-1)</f>
        <v>32</v>
      </c>
      <c r="S1" s="128">
        <f>_xlfn.IFNA(MATCH(S$2,'Project List'!$2:$2,0),-1)</f>
        <v>10</v>
      </c>
      <c r="T1" s="128">
        <f>_xlfn.IFNA(MATCH(T$2,'Project List'!$2:$2,0),-1)</f>
        <v>23</v>
      </c>
      <c r="U1" s="128">
        <f>_xlfn.IFNA(MATCH(U$2,'Project List'!$2:$2,0),-1)</f>
        <v>24</v>
      </c>
      <c r="V1" s="128">
        <f>_xlfn.IFNA(MATCH(V$2,'Project List'!$2:$2,0),-1)</f>
        <v>-1</v>
      </c>
      <c r="W1" s="128"/>
      <c r="X1" s="128"/>
    </row>
    <row r="2" spans="1:24" s="124" customFormat="1" ht="25" customHeight="1" x14ac:dyDescent="0.25">
      <c r="A2" s="129" t="s">
        <v>152</v>
      </c>
      <c r="B2" s="129" t="s">
        <v>151</v>
      </c>
      <c r="C2" s="129" t="s">
        <v>214</v>
      </c>
      <c r="D2" s="129" t="s">
        <v>221</v>
      </c>
      <c r="E2" s="129" t="s">
        <v>62</v>
      </c>
      <c r="F2" s="129" t="s">
        <v>157</v>
      </c>
      <c r="G2" s="129" t="s">
        <v>159</v>
      </c>
      <c r="H2" s="129" t="s">
        <v>155</v>
      </c>
      <c r="I2" s="129" t="s">
        <v>242</v>
      </c>
      <c r="J2" s="129" t="s">
        <v>206</v>
      </c>
      <c r="K2" s="129" t="s">
        <v>207</v>
      </c>
      <c r="L2" s="129" t="s">
        <v>208</v>
      </c>
      <c r="M2" s="129" t="s">
        <v>153</v>
      </c>
      <c r="N2" s="129" t="s">
        <v>211</v>
      </c>
      <c r="O2" s="129" t="s">
        <v>154</v>
      </c>
      <c r="P2" s="129" t="s">
        <v>158</v>
      </c>
      <c r="Q2" s="129" t="s">
        <v>241</v>
      </c>
      <c r="R2" s="129" t="s">
        <v>156</v>
      </c>
      <c r="S2" s="129" t="s">
        <v>64</v>
      </c>
      <c r="T2" s="129" t="s">
        <v>75</v>
      </c>
      <c r="U2" s="129" t="s">
        <v>76</v>
      </c>
      <c r="V2" s="129" t="s">
        <v>161</v>
      </c>
      <c r="W2" s="129" t="s">
        <v>142</v>
      </c>
      <c r="X2" s="129" t="s">
        <v>209</v>
      </c>
    </row>
    <row r="3" spans="1:24" s="124" customFormat="1" ht="58" x14ac:dyDescent="0.25">
      <c r="A3" s="129">
        <v>202510042</v>
      </c>
      <c r="B3" s="129" t="str">
        <f>IF(B$1=-1,"",INDEX(INDEX('Project List'!$1:$1048576,0,B$1),MATCH($A3,'Project List'!$A:$A,0)))</f>
        <v>骏达路北段（曹安公路-童家桥路）燃气配套工程</v>
      </c>
      <c r="C3" s="129" t="str">
        <f>IF(C$1=-1,"",INDEX(INDEX('Project List'!$1:$1048576,0,C$1),MATCH($A3,'Project List'!$A:$A,0)))</f>
        <v>管线</v>
      </c>
      <c r="D3" s="129" t="str">
        <f>IF(D$1=-1,"",INDEX(INDEX('Project List'!$1:$1048576,0,D$1),MATCH($A3,'Project List'!$A:$A,0)))</f>
        <v>上海燃气市北销售有限公司</v>
      </c>
      <c r="E3" s="129" t="str">
        <f>IF(E$1=-1,"",INDEX(INDEX('Project List'!$1:$1048576,0,E$1),MATCH($A3,'Project List'!$A:$A,0)))</f>
        <v>许可类</v>
      </c>
      <c r="F3" s="129" t="str">
        <f>IF(F$1=-1,"",INDEX(INDEX('Project List'!$1:$1048576,0,F$1),MATCH($A3,'Project List'!$A:$A,0)))</f>
        <v>上海燃气市北销售有限公司</v>
      </c>
      <c r="G3" s="129" t="str">
        <f>IF(G$1=-1,"",INDEX(INDEX('Project List'!$1:$1048576,0,G$1),MATCH($A3,'Project List'!$A:$A,0)))</f>
        <v>嘉定区东临曹安公路</v>
      </c>
      <c r="H3" s="129" t="str">
        <f>IF(H$1=-1,"",INDEX(INDEX('Project List'!$1:$1048576,0,H$1),MATCH($A3,'Project List'!$A:$A,0)))</f>
        <v>地铁运营线路14号线曹安公路站至嘉怡路站区间</v>
      </c>
      <c r="I3" s="129"/>
      <c r="J3" s="129" t="str">
        <f>IF(J$1=-1,"",INDEX(INDEX('Project List'!$1:$1048576,0,J$1),MATCH($A3,'Project List'!$A:$A,0)))</f>
        <v>否</v>
      </c>
      <c r="K3" s="129" t="str">
        <f>IF(K$1=-1,"",INDEX(INDEX('Project List'!$1:$1048576,0,K$1),MATCH($A3,'Project List'!$A:$A,0)))</f>
        <v>否</v>
      </c>
      <c r="L3" s="129" t="str">
        <f>IF(L$1=-1,"",INDEX(INDEX('Project List'!$1:$1048576,0,L$1),MATCH($A3,'Project List'!$A:$A,0)))</f>
        <v>否</v>
      </c>
      <c r="M3" s="130" t="str">
        <f>LEFT(G3,FIND("区",G3))</f>
        <v>嘉定区</v>
      </c>
      <c r="N3" s="131" t="s">
        <v>212</v>
      </c>
      <c r="O3" s="130" t="str">
        <f t="shared" ref="O3" si="0">MID(H3,FIND("线路",H3)+2,FIND("号线",H3)-FIND("线路",H3)-2)</f>
        <v>14</v>
      </c>
      <c r="P3" s="129" t="str">
        <f>IF($W3&lt;&gt;"已通过","待确认",IF(IF(P$1=-1,"",INDEX(INDEX('Project List'!$1:$1048576,0,P$1),MATCH($A3,'Project List'!$A:$A,0)))="","未涉及",IF(P$1=-1,"",INDEX(INDEX('Project List'!$1:$1048576,0,P$1),MATCH($A3,'Project List'!$A:$A,0)))))</f>
        <v>未涉及</v>
      </c>
      <c r="Q3" s="129" t="str">
        <f>IF($W3&lt;&gt;"已通过","待确认",IF(IF(Q$1=-1,"",INDEX(INDEX('Project List'!$1:$1048576,0,Q$1),MATCH($A3,'Project List'!$A:$A,0)))="","未涉及",IF(Q$1=-1,"",INDEX(INDEX('Project List'!$1:$1048576,0,Q$1),MATCH($A3,'Project List'!$A:$A,0)))))</f>
        <v>单圆</v>
      </c>
      <c r="R3" s="129" t="str">
        <f>IF($W3&lt;&gt;"已通过","待确认",IF(IF(R$1=-1,"",INDEX(INDEX('Project List'!$1:$1048576,0,R$1),MATCH($A3,'Project List'!$A:$A,0)))="","未涉及",IF(R$1=-1,"",INDEX(INDEX('Project List'!$1:$1048576,0,R$1),MATCH($A3,'Project List'!$A:$A,0)))))</f>
        <v>未涉及</v>
      </c>
      <c r="S3" s="129" t="str">
        <f>IF($W3&lt;&gt;"已通过","待确认",IF(IF(S$1=-1,"",INDEX(INDEX('Project List'!$1:$1048576,0,S$1),MATCH($A3,'Project List'!$A:$A,0)))="","未涉及",IF(S$1=-1,"",INDEX(INDEX('Project List'!$1:$1048576,0,S$1),MATCH($A3,'Project List'!$A:$A,0)))))</f>
        <v>1.0月</v>
      </c>
      <c r="T3" s="129" t="str">
        <f>IF(T$1=-1,"",INDEX(INDEX('Project List'!$1:$1048576,0,T$1),MATCH($A3,'Project List'!$A:$A,0)))</f>
        <v>是</v>
      </c>
      <c r="U3" s="129" t="str">
        <f>IF(U$1=-1,"",INDEX(INDEX('Project List'!$1:$1048576,0,U$1),MATCH($A3,'Project List'!$A:$A,0)))</f>
        <v>5、对应地铁地下隧道——挖深不超过4m且围护与区间隧道水平或竖向净距大于5m的明挖类管线工程。</v>
      </c>
      <c r="V3" s="129" t="s">
        <v>178</v>
      </c>
      <c r="W3" s="129" t="str">
        <f>INDEX('Project Plan'!$J:$J,MATCH(A3,'Project Plan'!$B:$B,0))</f>
        <v>已通过</v>
      </c>
      <c r="X3" s="129" t="str">
        <f>INDEX('Project Plan'!$K:$K,MATCH(A3,'Project Plan'!$B:$B,0))</f>
        <v>已上传</v>
      </c>
    </row>
    <row r="4" spans="1:24" ht="58" x14ac:dyDescent="0.25">
      <c r="A4" s="132">
        <v>202510073</v>
      </c>
      <c r="B4" s="129" t="str">
        <f>IF(B$1=-1,"",INDEX(INDEX('Project List'!$1:$1048576,0,B$1),MATCH($A4,'Project List'!$A:$A,0)))</f>
        <v>四平路（庆阳路-溧阳路）燃气管道改造</v>
      </c>
      <c r="C4" s="129" t="str">
        <f>IF(C$1=-1,"",INDEX(INDEX('Project List'!$1:$1048576,0,C$1),MATCH($A4,'Project List'!$A:$A,0)))</f>
        <v>管线</v>
      </c>
      <c r="D4" s="129" t="str">
        <f>IF(D$1=-1,"",INDEX(INDEX('Project List'!$1:$1048576,0,D$1),MATCH($A4,'Project List'!$A:$A,0)))</f>
        <v>上海燃气市北销售有限公司</v>
      </c>
      <c r="E4" s="129" t="str">
        <f>IF(E$1=-1,"",INDEX(INDEX('Project List'!$1:$1048576,0,E$1),MATCH($A4,'Project List'!$A:$A,0)))</f>
        <v>许可类</v>
      </c>
      <c r="F4" s="129" t="str">
        <f>IF(F$1=-1,"",INDEX(INDEX('Project List'!$1:$1048576,0,F$1),MATCH($A4,'Project List'!$A:$A,0)))</f>
        <v>上海燃气市北销售有限公司</v>
      </c>
      <c r="G4" s="129" t="str">
        <f>IF(G$1=-1,"",INDEX(INDEX('Project List'!$1:$1048576,0,G$1),MATCH($A4,'Project List'!$A:$A,0)))</f>
        <v>虹口区东临天水路南临赤峰路</v>
      </c>
      <c r="H4" s="129" t="str">
        <f>IF(H$1=-1,"",INDEX(INDEX('Project List'!$1:$1048576,0,H$1),MATCH($A4,'Project List'!$A:$A,0)))</f>
        <v>地铁运营线路10号线海伦路站至邮电新村站区间</v>
      </c>
      <c r="I4" s="129"/>
      <c r="J4" s="129" t="str">
        <f>IF(J$1=-1,"",INDEX(INDEX('Project List'!$1:$1048576,0,J$1),MATCH($A4,'Project List'!$A:$A,0)))</f>
        <v>待确认</v>
      </c>
      <c r="K4" s="129" t="str">
        <f>IF(K$1=-1,"",INDEX(INDEX('Project List'!$1:$1048576,0,K$1),MATCH($A4,'Project List'!$A:$A,0)))</f>
        <v>是</v>
      </c>
      <c r="L4" s="129" t="str">
        <f>IF(L$1=-1,"",INDEX(INDEX('Project List'!$1:$1048576,0,L$1),MATCH($A4,'Project List'!$A:$A,0)))</f>
        <v>否</v>
      </c>
      <c r="M4" s="130" t="str">
        <f t="shared" ref="M4:M10" si="1">LEFT(G4,FIND("区",G4))</f>
        <v>虹口区</v>
      </c>
      <c r="N4" s="131"/>
      <c r="O4" s="130" t="str">
        <f>MID(H4,FIND("线路",H4)+2,FIND("号线",H4)-FIND("线路",H4)-2)</f>
        <v>10</v>
      </c>
      <c r="P4" s="129" t="str">
        <f>IF($W4&lt;&gt;"已通过","待确认",IF(IF(P$1=-1,"",INDEX(INDEX('Project List'!$1:$1048576,0,P$1),MATCH($A4,'Project List'!$A:$A,0)))="","未涉及",IF(P$1=-1,"",INDEX(INDEX('Project List'!$1:$1048576,0,P$1),MATCH($A4,'Project List'!$A:$A,0)))))</f>
        <v>待确认</v>
      </c>
      <c r="Q4" s="129" t="str">
        <f>IF($W4&lt;&gt;"已通过","待确认",IF(IF(Q$1=-1,"",INDEX(INDEX('Project List'!$1:$1048576,0,Q$1),MATCH($A4,'Project List'!$A:$A,0)))="","未涉及",IF(Q$1=-1,"",INDEX(INDEX('Project List'!$1:$1048576,0,Q$1),MATCH($A4,'Project List'!$A:$A,0)))))</f>
        <v>待确认</v>
      </c>
      <c r="R4" s="129" t="str">
        <f>IF($W4&lt;&gt;"已通过","待确认",IF(IF(R$1=-1,"",INDEX(INDEX('Project List'!$1:$1048576,0,R$1),MATCH($A4,'Project List'!$A:$A,0)))="","未涉及",IF(R$1=-1,"",INDEX(INDEX('Project List'!$1:$1048576,0,R$1),MATCH($A4,'Project List'!$A:$A,0)))))</f>
        <v>待确认</v>
      </c>
      <c r="S4" s="129" t="str">
        <f>IF($W4&lt;&gt;"已通过","待确认",IF(IF(S$1=-1,"",INDEX(INDEX('Project List'!$1:$1048576,0,S$1),MATCH($A4,'Project List'!$A:$A,0)))="","未涉及",IF(S$1=-1,"",INDEX(INDEX('Project List'!$1:$1048576,0,S$1),MATCH($A4,'Project List'!$A:$A,0)))))</f>
        <v>待确认</v>
      </c>
      <c r="T4" s="129" t="str">
        <f>IF(T$1=-1,"",INDEX(INDEX('Project List'!$1:$1048576,0,T$1),MATCH($A4,'Project List'!$A:$A,0)))</f>
        <v>是</v>
      </c>
      <c r="U4" s="129" t="str">
        <f>IF(U$1=-1,"",INDEX(INDEX('Project List'!$1:$1048576,0,U$1),MATCH($A4,'Project List'!$A:$A,0)))</f>
        <v>5、对应地铁地下隧道——挖深不超过4m且围护与区间隧道水平或竖向净距大于5m的明挖类管线工程。</v>
      </c>
      <c r="V4" s="129" t="s">
        <v>178</v>
      </c>
      <c r="W4" s="129" t="str">
        <f>INDEX('Project Plan'!$J:$J,MATCH(A4,'Project Plan'!$B:$B,0))</f>
        <v>退回</v>
      </c>
      <c r="X4" s="129" t="str">
        <f>INDEX('Project Plan'!$K:$K,MATCH(A4,'Project Plan'!$B:$B,0))</f>
        <v>退回</v>
      </c>
    </row>
    <row r="5" spans="1:24" ht="58" x14ac:dyDescent="0.25">
      <c r="A5" s="132">
        <v>202510045</v>
      </c>
      <c r="B5" s="129" t="str">
        <f>IF(B$1=-1,"",INDEX(INDEX('Project List'!$1:$1048576,0,B$1),MATCH($A5,'Project List'!$A:$A,0)))</f>
        <v>平利路38弄燃气管道改造</v>
      </c>
      <c r="C5" s="129" t="str">
        <f>IF(C$1=-1,"",INDEX(INDEX('Project List'!$1:$1048576,0,C$1),MATCH($A5,'Project List'!$A:$A,0)))</f>
        <v>管线</v>
      </c>
      <c r="D5" s="129" t="str">
        <f>IF(D$1=-1,"",INDEX(INDEX('Project List'!$1:$1048576,0,D$1),MATCH($A5,'Project List'!$A:$A,0)))</f>
        <v>上海燃气市北销售有限公司</v>
      </c>
      <c r="E5" s="129" t="str">
        <f>IF(E$1=-1,"",INDEX(INDEX('Project List'!$1:$1048576,0,E$1),MATCH($A5,'Project List'!$A:$A,0)))</f>
        <v>许可类</v>
      </c>
      <c r="F5" s="129" t="str">
        <f>IF(F$1=-1,"",INDEX(INDEX('Project List'!$1:$1048576,0,F$1),MATCH($A5,'Project List'!$A:$A,0)))</f>
        <v>上海燃气市北销售有限公司</v>
      </c>
      <c r="G5" s="129" t="str">
        <f>IF(G$1=-1,"",INDEX(INDEX('Project List'!$1:$1048576,0,G$1),MATCH($A5,'Project List'!$A:$A,0)))</f>
        <v>普陀区东临志丹路</v>
      </c>
      <c r="H5" s="129" t="str">
        <f>IF(H$1=-1,"",INDEX(INDEX('Project List'!$1:$1048576,0,H$1),MATCH($A5,'Project List'!$A:$A,0)))</f>
        <v>地铁在建线路20号线平利路站车站</v>
      </c>
      <c r="I5" s="129"/>
      <c r="J5" s="129" t="str">
        <f>IF(J$1=-1,"",INDEX(INDEX('Project List'!$1:$1048576,0,J$1),MATCH($A5,'Project List'!$A:$A,0)))</f>
        <v>否</v>
      </c>
      <c r="K5" s="129" t="str">
        <f>IF(K$1=-1,"",INDEX(INDEX('Project List'!$1:$1048576,0,K$1),MATCH($A5,'Project List'!$A:$A,0)))</f>
        <v>是</v>
      </c>
      <c r="L5" s="129" t="str">
        <f>IF(L$1=-1,"",INDEX(INDEX('Project List'!$1:$1048576,0,L$1),MATCH($A5,'Project List'!$A:$A,0)))</f>
        <v>否</v>
      </c>
      <c r="M5" s="130" t="str">
        <f t="shared" si="1"/>
        <v>普陀区</v>
      </c>
      <c r="N5" s="131"/>
      <c r="O5" s="130" t="str">
        <f t="shared" ref="O5:O14" si="2">MID(H5,FIND("线路",H5)+2,FIND("号线",H5)-FIND("线路",H5)-2)</f>
        <v>20</v>
      </c>
      <c r="P5" s="129" t="str">
        <f>IF($W5&lt;&gt;"已通过","待确认",IF(IF(P$1=-1,"",INDEX(INDEX('Project List'!$1:$1048576,0,P$1),MATCH($A5,'Project List'!$A:$A,0)))="","未涉及",IF(P$1=-1,"",INDEX(INDEX('Project List'!$1:$1048576,0,P$1),MATCH($A5,'Project List'!$A:$A,0)))))</f>
        <v>未涉及</v>
      </c>
      <c r="Q5" s="129" t="str">
        <f>IF($W5&lt;&gt;"已通过","待确认",IF(IF(Q$1=-1,"",INDEX(INDEX('Project List'!$1:$1048576,0,Q$1),MATCH($A5,'Project List'!$A:$A,0)))="","未涉及",IF(Q$1=-1,"",INDEX(INDEX('Project List'!$1:$1048576,0,Q$1),MATCH($A5,'Project List'!$A:$A,0)))))</f>
        <v>单圆</v>
      </c>
      <c r="R5" s="129" t="str">
        <f>IF($W5&lt;&gt;"已通过","待确认",IF(IF(R$1=-1,"",INDEX(INDEX('Project List'!$1:$1048576,0,R$1),MATCH($A5,'Project List'!$A:$A,0)))="","未涉及",IF(R$1=-1,"",INDEX(INDEX('Project List'!$1:$1048576,0,R$1),MATCH($A5,'Project List'!$A:$A,0)))))</f>
        <v>未涉及</v>
      </c>
      <c r="S5" s="129" t="str">
        <f>IF($W5&lt;&gt;"已通过","待确认",IF(IF(S$1=-1,"",INDEX(INDEX('Project List'!$1:$1048576,0,S$1),MATCH($A5,'Project List'!$A:$A,0)))="","未涉及",IF(S$1=-1,"",INDEX(INDEX('Project List'!$1:$1048576,0,S$1),MATCH($A5,'Project List'!$A:$A,0)))))</f>
        <v>1.0月</v>
      </c>
      <c r="T5" s="129" t="str">
        <f>IF(T$1=-1,"",INDEX(INDEX('Project List'!$1:$1048576,0,T$1),MATCH($A5,'Project List'!$A:$A,0)))</f>
        <v>是</v>
      </c>
      <c r="U5" s="129" t="str">
        <f>IF(U$1=-1,"",INDEX(INDEX('Project List'!$1:$1048576,0,U$1),MATCH($A5,'Project List'!$A:$A,0)))</f>
        <v>5、对应地铁地下隧道——挖深不超过4m且围护与区间隧道水平或竖向净距大于5m的明挖类管线工程。</v>
      </c>
      <c r="V5" s="129" t="s">
        <v>178</v>
      </c>
      <c r="W5" s="129" t="str">
        <f>INDEX('Project Plan'!$J:$J,MATCH(A5,'Project Plan'!$B:$B,0))</f>
        <v>已通过</v>
      </c>
      <c r="X5" s="129" t="str">
        <f>INDEX('Project Plan'!$K:$K,MATCH(A5,'Project Plan'!$B:$B,0))</f>
        <v>已上传</v>
      </c>
    </row>
    <row r="6" spans="1:24" ht="58" x14ac:dyDescent="0.25">
      <c r="A6" s="132">
        <v>202510072</v>
      </c>
      <c r="B6" s="129" t="str">
        <f>IF(B$1=-1,"",INDEX(INDEX('Project List'!$1:$1048576,0,B$1),MATCH($A6,'Project List'!$A:$A,0)))</f>
        <v>四达路58弄1-23号燃气管道改造</v>
      </c>
      <c r="C6" s="129" t="str">
        <f>IF(C$1=-1,"",INDEX(INDEX('Project List'!$1:$1048576,0,C$1),MATCH($A6,'Project List'!$A:$A,0)))</f>
        <v>管线</v>
      </c>
      <c r="D6" s="129" t="str">
        <f>IF(D$1=-1,"",INDEX(INDEX('Project List'!$1:$1048576,0,D$1),MATCH($A6,'Project List'!$A:$A,0)))</f>
        <v>上海燃气市北销售有限公司</v>
      </c>
      <c r="E6" s="129" t="str">
        <f>IF(E$1=-1,"",INDEX(INDEX('Project List'!$1:$1048576,0,E$1),MATCH($A6,'Project List'!$A:$A,0)))</f>
        <v>许可类</v>
      </c>
      <c r="F6" s="129" t="str">
        <f>IF(F$1=-1,"",INDEX(INDEX('Project List'!$1:$1048576,0,F$1),MATCH($A6,'Project List'!$A:$A,0)))</f>
        <v>上海燃气市北销售有限公司</v>
      </c>
      <c r="G6" s="129" t="str">
        <f>IF(G$1=-1,"",INDEX(INDEX('Project List'!$1:$1048576,0,G$1),MATCH($A6,'Project List'!$A:$A,0)))</f>
        <v>虹口区东临四平路北临四达路</v>
      </c>
      <c r="H6" s="129" t="str">
        <f>IF(H$1=-1,"",INDEX(INDEX('Project List'!$1:$1048576,0,H$1),MATCH($A6,'Project List'!$A:$A,0)))</f>
        <v>地铁运营线路10号线邮电新村站至海伦路站区间</v>
      </c>
      <c r="I6" s="129"/>
      <c r="J6" s="129" t="str">
        <f>IF(J$1=-1,"",INDEX(INDEX('Project List'!$1:$1048576,0,J$1),MATCH($A6,'Project List'!$A:$A,0)))</f>
        <v>否</v>
      </c>
      <c r="K6" s="129" t="str">
        <f>IF(K$1=-1,"",INDEX(INDEX('Project List'!$1:$1048576,0,K$1),MATCH($A6,'Project List'!$A:$A,0)))</f>
        <v>否</v>
      </c>
      <c r="L6" s="129" t="str">
        <f>IF(L$1=-1,"",INDEX(INDEX('Project List'!$1:$1048576,0,L$1),MATCH($A6,'Project List'!$A:$A,0)))</f>
        <v>否</v>
      </c>
      <c r="M6" s="130" t="str">
        <f t="shared" si="1"/>
        <v>虹口区</v>
      </c>
      <c r="N6" s="131"/>
      <c r="O6" s="130" t="str">
        <f t="shared" si="2"/>
        <v>10</v>
      </c>
      <c r="P6" s="129" t="str">
        <f>IF($W6&lt;&gt;"已通过","待确认",IF(IF(P$1=-1,"",INDEX(INDEX('Project List'!$1:$1048576,0,P$1),MATCH($A6,'Project List'!$A:$A,0)))="","未涉及",IF(P$1=-1,"",INDEX(INDEX('Project List'!$1:$1048576,0,P$1),MATCH($A6,'Project List'!$A:$A,0)))))</f>
        <v>未涉及</v>
      </c>
      <c r="Q6" s="129" t="str">
        <f>IF($W6&lt;&gt;"已通过","待确认",IF(IF(Q$1=-1,"",INDEX(INDEX('Project List'!$1:$1048576,0,Q$1),MATCH($A6,'Project List'!$A:$A,0)))="","未涉及",IF(Q$1=-1,"",INDEX(INDEX('Project List'!$1:$1048576,0,Q$1),MATCH($A6,'Project List'!$A:$A,0)))))</f>
        <v>单圆</v>
      </c>
      <c r="R6" s="129" t="str">
        <f>IF($W6&lt;&gt;"已通过","待确认",IF(IF(R$1=-1,"",INDEX(INDEX('Project List'!$1:$1048576,0,R$1),MATCH($A6,'Project List'!$A:$A,0)))="","未涉及",IF(R$1=-1,"",INDEX(INDEX('Project List'!$1:$1048576,0,R$1),MATCH($A6,'Project List'!$A:$A,0)))))</f>
        <v>未涉及</v>
      </c>
      <c r="S6" s="129" t="str">
        <f>IF($W6&lt;&gt;"已通过","待确认",IF(IF(S$1=-1,"",INDEX(INDEX('Project List'!$1:$1048576,0,S$1),MATCH($A6,'Project List'!$A:$A,0)))="","未涉及",IF(S$1=-1,"",INDEX(INDEX('Project List'!$1:$1048576,0,S$1),MATCH($A6,'Project List'!$A:$A,0)))))</f>
        <v>1.0月</v>
      </c>
      <c r="T6" s="129" t="str">
        <f>IF(T$1=-1,"",INDEX(INDEX('Project List'!$1:$1048576,0,T$1),MATCH($A6,'Project List'!$A:$A,0)))</f>
        <v>是</v>
      </c>
      <c r="U6" s="129" t="str">
        <f>IF(U$1=-1,"",INDEX(INDEX('Project List'!$1:$1048576,0,U$1),MATCH($A6,'Project List'!$A:$A,0)))</f>
        <v>5、对应地铁地下隧道——挖深不超过4m且围护与区间隧道水平或竖向净距大于5m的明挖类管线工程。</v>
      </c>
      <c r="V6" s="129" t="s">
        <v>178</v>
      </c>
      <c r="W6" s="129" t="str">
        <f>INDEX('Project Plan'!$J:$J,MATCH(A6,'Project Plan'!$B:$B,0))</f>
        <v>已通过</v>
      </c>
      <c r="X6" s="129" t="str">
        <f>INDEX('Project Plan'!$K:$K,MATCH(A6,'Project Plan'!$B:$B,0))</f>
        <v>已上传</v>
      </c>
    </row>
    <row r="7" spans="1:24" ht="72.5" x14ac:dyDescent="0.25">
      <c r="A7" s="132">
        <v>202510082</v>
      </c>
      <c r="B7" s="129" t="str">
        <f>IF(B$1=-1,"",INDEX(INDEX('Project List'!$1:$1048576,0,B$1),MATCH($A7,'Project List'!$A:$A,0)))</f>
        <v>武威东路1082弄燃气管道改造重新设计</v>
      </c>
      <c r="C7" s="129" t="str">
        <f>IF(C$1=-1,"",INDEX(INDEX('Project List'!$1:$1048576,0,C$1),MATCH($A7,'Project List'!$A:$A,0)))</f>
        <v>管线</v>
      </c>
      <c r="D7" s="129" t="str">
        <f>IF(D$1=-1,"",INDEX(INDEX('Project List'!$1:$1048576,0,D$1),MATCH($A7,'Project List'!$A:$A,0)))</f>
        <v>上海燃气市北销售有限公司</v>
      </c>
      <c r="E7" s="129" t="str">
        <f>IF(E$1=-1,"",INDEX(INDEX('Project List'!$1:$1048576,0,E$1),MATCH($A7,'Project List'!$A:$A,0)))</f>
        <v>许可类</v>
      </c>
      <c r="F7" s="129" t="str">
        <f>IF(F$1=-1,"",INDEX(INDEX('Project List'!$1:$1048576,0,F$1),MATCH($A7,'Project List'!$A:$A,0)))</f>
        <v>上海燃气市北销售有限公司</v>
      </c>
      <c r="G7" s="129" t="str">
        <f>IF(G$1=-1,"",INDEX(INDEX('Project List'!$1:$1048576,0,G$1),MATCH($A7,'Project List'!$A:$A,0)))</f>
        <v>普陀区东临雪松路西临红棉路南临武威路</v>
      </c>
      <c r="H7" s="129" t="str">
        <f>IF(H$1=-1,"",INDEX(INDEX('Project List'!$1:$1048576,0,H$1),MATCH($A7,'Project List'!$A:$A,0)))</f>
        <v>地铁运营线路11号线武威路站至桃浦新村站区间</v>
      </c>
      <c r="I7" s="129"/>
      <c r="J7" s="129" t="str">
        <f>IF(J$1=-1,"",INDEX(INDEX('Project List'!$1:$1048576,0,J$1),MATCH($A7,'Project List'!$A:$A,0)))</f>
        <v>否</v>
      </c>
      <c r="K7" s="129" t="str">
        <f>IF(K$1=-1,"",INDEX(INDEX('Project List'!$1:$1048576,0,K$1),MATCH($A7,'Project List'!$A:$A,0)))</f>
        <v>否</v>
      </c>
      <c r="L7" s="129" t="str">
        <f>IF(L$1=-1,"",INDEX(INDEX('Project List'!$1:$1048576,0,L$1),MATCH($A7,'Project List'!$A:$A,0)))</f>
        <v>否</v>
      </c>
      <c r="M7" s="130" t="str">
        <f t="shared" si="1"/>
        <v>普陀区</v>
      </c>
      <c r="N7" s="131"/>
      <c r="O7" s="130" t="str">
        <f t="shared" si="2"/>
        <v>11</v>
      </c>
      <c r="P7" s="129" t="str">
        <f>IF($W7&lt;&gt;"已通过","待确认",IF(IF(P$1=-1,"",INDEX(INDEX('Project List'!$1:$1048576,0,P$1),MATCH($A7,'Project List'!$A:$A,0)))="","未涉及",IF(P$1=-1,"",INDEX(INDEX('Project List'!$1:$1048576,0,P$1),MATCH($A7,'Project List'!$A:$A,0)))))</f>
        <v>未涉及</v>
      </c>
      <c r="Q7" s="129" t="str">
        <f>IF($W7&lt;&gt;"已通过","待确认",IF(IF(Q$1=-1,"",INDEX(INDEX('Project List'!$1:$1048576,0,Q$1),MATCH($A7,'Project List'!$A:$A,0)))="","未涉及",IF(Q$1=-1,"",INDEX(INDEX('Project List'!$1:$1048576,0,Q$1),MATCH($A7,'Project List'!$A:$A,0)))))</f>
        <v>单圆</v>
      </c>
      <c r="R7" s="129" t="str">
        <f>IF($W7&lt;&gt;"已通过","待确认",IF(IF(R$1=-1,"",INDEX(INDEX('Project List'!$1:$1048576,0,R$1),MATCH($A7,'Project List'!$A:$A,0)))="","未涉及",IF(R$1=-1,"",INDEX(INDEX('Project List'!$1:$1048576,0,R$1),MATCH($A7,'Project List'!$A:$A,0)))))</f>
        <v>未涉及</v>
      </c>
      <c r="S7" s="129" t="str">
        <f>IF($W7&lt;&gt;"已通过","待确认",IF(IF(S$1=-1,"",INDEX(INDEX('Project List'!$1:$1048576,0,S$1),MATCH($A7,'Project List'!$A:$A,0)))="","未涉及",IF(S$1=-1,"",INDEX(INDEX('Project List'!$1:$1048576,0,S$1),MATCH($A7,'Project List'!$A:$A,0)))))</f>
        <v>1.0月</v>
      </c>
      <c r="T7" s="129" t="str">
        <f>IF(T$1=-1,"",INDEX(INDEX('Project List'!$1:$1048576,0,T$1),MATCH($A7,'Project List'!$A:$A,0)))</f>
        <v>是</v>
      </c>
      <c r="U7" s="129" t="str">
        <f>IF(U$1=-1,"",INDEX(INDEX('Project List'!$1:$1048576,0,U$1),MATCH($A7,'Project List'!$A:$A,0)))</f>
        <v>5、对应地铁地下隧道——挖深不超过4m且围护与区间隧道水平或竖向净距大于5m的明挖类管线工程。</v>
      </c>
      <c r="V7" s="129" t="s">
        <v>178</v>
      </c>
      <c r="W7" s="129" t="str">
        <f>INDEX('Project Plan'!$J:$J,MATCH(A7,'Project Plan'!$B:$B,0))</f>
        <v>已通过</v>
      </c>
      <c r="X7" s="129" t="str">
        <f>INDEX('Project Plan'!$K:$K,MATCH(A7,'Project Plan'!$B:$B,0))</f>
        <v>已上传</v>
      </c>
    </row>
    <row r="8" spans="1:24" ht="58" x14ac:dyDescent="0.25">
      <c r="A8" s="132">
        <v>202510117</v>
      </c>
      <c r="B8" s="129" t="str">
        <f>IF(B$1=-1,"",INDEX(INDEX('Project List'!$1:$1048576,0,B$1),MATCH($A8,'Project List'!$A:$A,0)))</f>
        <v>新港路（四平路—大连路）燃气管道搬迁工程</v>
      </c>
      <c r="C8" s="129" t="str">
        <f>IF(C$1=-1,"",INDEX(INDEX('Project List'!$1:$1048576,0,C$1),MATCH($A8,'Project List'!$A:$A,0)))</f>
        <v>管线</v>
      </c>
      <c r="D8" s="129" t="str">
        <f>IF(D$1=-1,"",INDEX(INDEX('Project List'!$1:$1048576,0,D$1),MATCH($A8,'Project List'!$A:$A,0)))</f>
        <v>上海燃气市北销售有限公司</v>
      </c>
      <c r="E8" s="129" t="str">
        <f>IF(E$1=-1,"",INDEX(INDEX('Project List'!$1:$1048576,0,E$1),MATCH($A8,'Project List'!$A:$A,0)))</f>
        <v>许可类</v>
      </c>
      <c r="F8" s="129" t="str">
        <f>IF(F$1=-1,"",INDEX(INDEX('Project List'!$1:$1048576,0,F$1),MATCH($A8,'Project List'!$A:$A,0)))</f>
        <v>上海燃气市北销售有限公司</v>
      </c>
      <c r="G8" s="129" t="str">
        <f>IF(G$1=-1,"",INDEX(INDEX('Project List'!$1:$1048576,0,G$1),MATCH($A8,'Project List'!$A:$A,0)))</f>
        <v>虹口区西临四平路</v>
      </c>
      <c r="H8" s="129" t="str">
        <f>IF(H$1=-1,"",INDEX(INDEX('Project List'!$1:$1048576,0,H$1),MATCH($A8,'Project List'!$A:$A,0)))</f>
        <v>地铁运营线路10号线四平路站至邮电新村站区间</v>
      </c>
      <c r="I8" s="129"/>
      <c r="J8" s="129" t="str">
        <f>IF(J$1=-1,"",INDEX(INDEX('Project List'!$1:$1048576,0,J$1),MATCH($A8,'Project List'!$A:$A,0)))</f>
        <v>否</v>
      </c>
      <c r="K8" s="129" t="str">
        <f>IF(K$1=-1,"",INDEX(INDEX('Project List'!$1:$1048576,0,K$1),MATCH($A8,'Project List'!$A:$A,0)))</f>
        <v>否</v>
      </c>
      <c r="L8" s="129" t="str">
        <f>IF(L$1=-1,"",INDEX(INDEX('Project List'!$1:$1048576,0,L$1),MATCH($A8,'Project List'!$A:$A,0)))</f>
        <v>否</v>
      </c>
      <c r="M8" s="130" t="str">
        <f t="shared" si="1"/>
        <v>虹口区</v>
      </c>
      <c r="N8" s="131"/>
      <c r="O8" s="130" t="str">
        <f t="shared" si="2"/>
        <v>10</v>
      </c>
      <c r="P8" s="129" t="str">
        <f>IF($W8&lt;&gt;"已通过","待确认",IF(IF(P$1=-1,"",INDEX(INDEX('Project List'!$1:$1048576,0,P$1),MATCH($A8,'Project List'!$A:$A,0)))="","未涉及",IF(P$1=-1,"",INDEX(INDEX('Project List'!$1:$1048576,0,P$1),MATCH($A8,'Project List'!$A:$A,0)))))</f>
        <v>未涉及</v>
      </c>
      <c r="Q8" s="129" t="str">
        <f>IF($W8&lt;&gt;"已通过","待确认",IF(IF(Q$1=-1,"",INDEX(INDEX('Project List'!$1:$1048576,0,Q$1),MATCH($A8,'Project List'!$A:$A,0)))="","未涉及",IF(Q$1=-1,"",INDEX(INDEX('Project List'!$1:$1048576,0,Q$1),MATCH($A8,'Project List'!$A:$A,0)))))</f>
        <v>双圆</v>
      </c>
      <c r="R8" s="129" t="str">
        <f>IF($W8&lt;&gt;"已通过","待确认",IF(IF(R$1=-1,"",INDEX(INDEX('Project List'!$1:$1048576,0,R$1),MATCH($A8,'Project List'!$A:$A,0)))="","未涉及",IF(R$1=-1,"",INDEX(INDEX('Project List'!$1:$1048576,0,R$1),MATCH($A8,'Project List'!$A:$A,0)))))</f>
        <v>未涉及</v>
      </c>
      <c r="S8" s="129" t="str">
        <f>IF($W8&lt;&gt;"已通过","待确认",IF(IF(S$1=-1,"",INDEX(INDEX('Project List'!$1:$1048576,0,S$1),MATCH($A8,'Project List'!$A:$A,0)))="","未涉及",IF(S$1=-1,"",INDEX(INDEX('Project List'!$1:$1048576,0,S$1),MATCH($A8,'Project List'!$A:$A,0)))))</f>
        <v>1.0月</v>
      </c>
      <c r="T8" s="129" t="str">
        <f>IF(T$1=-1,"",INDEX(INDEX('Project List'!$1:$1048576,0,T$1),MATCH($A8,'Project List'!$A:$A,0)))</f>
        <v>是</v>
      </c>
      <c r="U8" s="129" t="str">
        <f>IF(U$1=-1,"",INDEX(INDEX('Project List'!$1:$1048576,0,U$1),MATCH($A8,'Project List'!$A:$A,0)))</f>
        <v>5、对应地铁地下隧道——挖深不超过4m且围护与区间隧道水平或竖向净距大于5m的明挖类管线工程。</v>
      </c>
      <c r="V8" s="129" t="s">
        <v>178</v>
      </c>
      <c r="W8" s="129" t="str">
        <f>INDEX('Project Plan'!$J:$J,MATCH(A8,'Project Plan'!$B:$B,0))</f>
        <v>已通过</v>
      </c>
      <c r="X8" s="129" t="str">
        <f>INDEX('Project Plan'!$K:$K,MATCH(A8,'Project Plan'!$B:$B,0))</f>
        <v>已上传</v>
      </c>
    </row>
    <row r="9" spans="1:24" ht="58" x14ac:dyDescent="0.25">
      <c r="A9" s="132">
        <v>202510113</v>
      </c>
      <c r="B9" s="129" t="str">
        <f>IF(B$1=-1,"",INDEX(INDEX('Project List'!$1:$1048576,0,B$1),MATCH($A9,'Project List'!$A:$A,0)))</f>
        <v>政立路淞沪路-国和路(自投道路改造工程)</v>
      </c>
      <c r="C9" s="129" t="str">
        <f>IF(C$1=-1,"",INDEX(INDEX('Project List'!$1:$1048576,0,C$1),MATCH($A9,'Project List'!$A:$A,0)))</f>
        <v>管线</v>
      </c>
      <c r="D9" s="129" t="str">
        <f>IF(D$1=-1,"",INDEX(INDEX('Project List'!$1:$1048576,0,D$1),MATCH($A9,'Project List'!$A:$A,0)))</f>
        <v>上海燃气市北销售有限公司</v>
      </c>
      <c r="E9" s="129" t="str">
        <f>IF(E$1=-1,"",INDEX(INDEX('Project List'!$1:$1048576,0,E$1),MATCH($A9,'Project List'!$A:$A,0)))</f>
        <v>许可类</v>
      </c>
      <c r="F9" s="129" t="str">
        <f>IF(F$1=-1,"",INDEX(INDEX('Project List'!$1:$1048576,0,F$1),MATCH($A9,'Project List'!$A:$A,0)))</f>
        <v>上海燃气市北销售有限公司</v>
      </c>
      <c r="G9" s="129" t="str">
        <f>IF(G$1=-1,"",INDEX(INDEX('Project List'!$1:$1048576,0,G$1),MATCH($A9,'Project List'!$A:$A,0)))</f>
        <v>杨浦区东临国和路西临淞沪路</v>
      </c>
      <c r="H9" s="129" t="str">
        <f>IF(H$1=-1,"",INDEX(INDEX('Project List'!$1:$1048576,0,H$1),MATCH($A9,'Project List'!$A:$A,0)))</f>
        <v>地铁运营线路10号线江湾体育场站至三门路站区间</v>
      </c>
      <c r="I9" s="129"/>
      <c r="J9" s="129" t="str">
        <f>IF(J$1=-1,"",INDEX(INDEX('Project List'!$1:$1048576,0,J$1),MATCH($A9,'Project List'!$A:$A,0)))</f>
        <v>否</v>
      </c>
      <c r="K9" s="129" t="str">
        <f>IF(K$1=-1,"",INDEX(INDEX('Project List'!$1:$1048576,0,K$1),MATCH($A9,'Project List'!$A:$A,0)))</f>
        <v>否</v>
      </c>
      <c r="L9" s="129" t="str">
        <f>IF(L$1=-1,"",INDEX(INDEX('Project List'!$1:$1048576,0,L$1),MATCH($A9,'Project List'!$A:$A,0)))</f>
        <v>否</v>
      </c>
      <c r="M9" s="130" t="str">
        <f t="shared" si="1"/>
        <v>杨浦区</v>
      </c>
      <c r="N9" s="131"/>
      <c r="O9" s="130" t="str">
        <f t="shared" si="2"/>
        <v>10</v>
      </c>
      <c r="P9" s="129" t="str">
        <f>IF($W9&lt;&gt;"已通过","待确认",IF(IF(P$1=-1,"",INDEX(INDEX('Project List'!$1:$1048576,0,P$1),MATCH($A9,'Project List'!$A:$A,0)))="","未涉及",IF(P$1=-1,"",INDEX(INDEX('Project List'!$1:$1048576,0,P$1),MATCH($A9,'Project List'!$A:$A,0)))))</f>
        <v>未涉及</v>
      </c>
      <c r="Q9" s="129" t="str">
        <f>IF($W9&lt;&gt;"已通过","待确认",IF(IF(Q$1=-1,"",INDEX(INDEX('Project List'!$1:$1048576,0,Q$1),MATCH($A9,'Project List'!$A:$A,0)))="","未涉及",IF(Q$1=-1,"",INDEX(INDEX('Project List'!$1:$1048576,0,Q$1),MATCH($A9,'Project List'!$A:$A,0)))))</f>
        <v>单圆</v>
      </c>
      <c r="R9" s="129" t="str">
        <f>IF($W9&lt;&gt;"已通过","待确认",IF(IF(R$1=-1,"",INDEX(INDEX('Project List'!$1:$1048576,0,R$1),MATCH($A9,'Project List'!$A:$A,0)))="","未涉及",IF(R$1=-1,"",INDEX(INDEX('Project List'!$1:$1048576,0,R$1),MATCH($A9,'Project List'!$A:$A,0)))))</f>
        <v>未涉及</v>
      </c>
      <c r="S9" s="129" t="str">
        <f>IF($W9&lt;&gt;"已通过","待确认",IF(IF(S$1=-1,"",INDEX(INDEX('Project List'!$1:$1048576,0,S$1),MATCH($A9,'Project List'!$A:$A,0)))="","未涉及",IF(S$1=-1,"",INDEX(INDEX('Project List'!$1:$1048576,0,S$1),MATCH($A9,'Project List'!$A:$A,0)))))</f>
        <v>1.0月</v>
      </c>
      <c r="T9" s="129" t="str">
        <f>IF(T$1=-1,"",INDEX(INDEX('Project List'!$1:$1048576,0,T$1),MATCH($A9,'Project List'!$A:$A,0)))</f>
        <v>是</v>
      </c>
      <c r="U9" s="129" t="str">
        <f>IF(U$1=-1,"",INDEX(INDEX('Project List'!$1:$1048576,0,U$1),MATCH($A9,'Project List'!$A:$A,0)))</f>
        <v>5、对应地铁地下隧道——挖深不超过4m且围护与区间隧道水平或竖向净距大于5m的明挖类管线工程。</v>
      </c>
      <c r="V9" s="129" t="s">
        <v>178</v>
      </c>
      <c r="W9" s="129" t="str">
        <f>INDEX('Project Plan'!$J:$J,MATCH(A9,'Project Plan'!$B:$B,0))</f>
        <v>已通过</v>
      </c>
      <c r="X9" s="129" t="str">
        <f>INDEX('Project Plan'!$K:$K,MATCH(A9,'Project Plan'!$B:$B,0))</f>
        <v>已上传</v>
      </c>
    </row>
    <row r="10" spans="1:24" ht="58" x14ac:dyDescent="0.25">
      <c r="A10" s="132">
        <v>202507014</v>
      </c>
      <c r="B10" s="129" t="str">
        <f>IF(B$1=-1,"",INDEX(INDEX('Project List'!$1:$1048576,0,B$1),MATCH($A10,'Project List'!$A:$A,0)))</f>
        <v>四平路国泰路、四平路国定路燃气管道改造工程</v>
      </c>
      <c r="C10" s="129" t="str">
        <f>IF(C$1=-1,"",INDEX(INDEX('Project List'!$1:$1048576,0,C$1),MATCH($A10,'Project List'!$A:$A,0)))</f>
        <v>管线</v>
      </c>
      <c r="D10" s="129" t="str">
        <f>IF(D$1=-1,"",INDEX(INDEX('Project List'!$1:$1048576,0,D$1),MATCH($A10,'Project List'!$A:$A,0)))</f>
        <v>上海燃气市北销售有限公司</v>
      </c>
      <c r="E10" s="129" t="str">
        <f>IF(E$1=-1,"",INDEX(INDEX('Project List'!$1:$1048576,0,E$1),MATCH($A10,'Project List'!$A:$A,0)))</f>
        <v>许可类</v>
      </c>
      <c r="F10" s="129" t="str">
        <f>IF(F$1=-1,"",INDEX(INDEX('Project List'!$1:$1048576,0,F$1),MATCH($A10,'Project List'!$A:$A,0)))</f>
        <v>上海燃气市北销售有限公司</v>
      </c>
      <c r="G10" s="129" t="str">
        <f>IF(G$1=-1,"",INDEX(INDEX('Project List'!$1:$1048576,0,G$1),MATCH($A10,'Project List'!$A:$A,0)))</f>
        <v>杨浦区南临国定路</v>
      </c>
      <c r="H10" s="129" t="str">
        <f>IF(H$1=-1,"",INDEX(INDEX('Project List'!$1:$1048576,0,H$1),MATCH($A10,'Project List'!$A:$A,0)))</f>
        <v>地铁运营线路10号线国权路站至五角场站区间</v>
      </c>
      <c r="I10" s="129"/>
      <c r="J10" s="129" t="str">
        <f>IF(J$1=-1,"",INDEX(INDEX('Project List'!$1:$1048576,0,J$1),MATCH($A10,'Project List'!$A:$A,0)))</f>
        <v>否</v>
      </c>
      <c r="K10" s="129" t="str">
        <f>IF(K$1=-1,"",INDEX(INDEX('Project List'!$1:$1048576,0,K$1),MATCH($A10,'Project List'!$A:$A,0)))</f>
        <v>否</v>
      </c>
      <c r="L10" s="129" t="str">
        <f>IF(L$1=-1,"",INDEX(INDEX('Project List'!$1:$1048576,0,L$1),MATCH($A10,'Project List'!$A:$A,0)))</f>
        <v>否</v>
      </c>
      <c r="M10" s="130" t="str">
        <f t="shared" si="1"/>
        <v>杨浦区</v>
      </c>
      <c r="N10" s="131"/>
      <c r="O10" s="130" t="str">
        <f t="shared" si="2"/>
        <v>10</v>
      </c>
      <c r="P10" s="129" t="str">
        <f>IF($W10&lt;&gt;"已通过","待确认",IF(IF(P$1=-1,"",INDEX(INDEX('Project List'!$1:$1048576,0,P$1),MATCH($A10,'Project List'!$A:$A,0)))="","未涉及",IF(P$1=-1,"",INDEX(INDEX('Project List'!$1:$1048576,0,P$1),MATCH($A10,'Project List'!$A:$A,0)))))</f>
        <v>未涉及</v>
      </c>
      <c r="Q10" s="129" t="str">
        <f>IF($W10&lt;&gt;"已通过","待确认",IF(IF(Q$1=-1,"",INDEX(INDEX('Project List'!$1:$1048576,0,Q$1),MATCH($A10,'Project List'!$A:$A,0)))="","未涉及",IF(Q$1=-1,"",INDEX(INDEX('Project List'!$1:$1048576,0,Q$1),MATCH($A10,'Project List'!$A:$A,0)))))</f>
        <v>单圆</v>
      </c>
      <c r="R10" s="129" t="str">
        <f>IF($W10&lt;&gt;"已通过","待确认",IF(IF(R$1=-1,"",INDEX(INDEX('Project List'!$1:$1048576,0,R$1),MATCH($A10,'Project List'!$A:$A,0)))="","未涉及",IF(R$1=-1,"",INDEX(INDEX('Project List'!$1:$1048576,0,R$1),MATCH($A10,'Project List'!$A:$A,0)))))</f>
        <v>未涉及</v>
      </c>
      <c r="S10" s="129" t="str">
        <f>IF($W10&lt;&gt;"已通过","待确认",IF(IF(S$1=-1,"",INDEX(INDEX('Project List'!$1:$1048576,0,S$1),MATCH($A10,'Project List'!$A:$A,0)))="","未涉及",IF(S$1=-1,"",INDEX(INDEX('Project List'!$1:$1048576,0,S$1),MATCH($A10,'Project List'!$A:$A,0)))))</f>
        <v>1.0月</v>
      </c>
      <c r="T10" s="129" t="str">
        <f>IF(T$1=-1,"",INDEX(INDEX('Project List'!$1:$1048576,0,T$1),MATCH($A10,'Project List'!$A:$A,0)))</f>
        <v>是</v>
      </c>
      <c r="U10" s="129" t="str">
        <f>IF(U$1=-1,"",INDEX(INDEX('Project List'!$1:$1048576,0,U$1),MATCH($A10,'Project List'!$A:$A,0)))</f>
        <v>5、对应地铁地下隧道——挖深不超过4m且围护与区间隧道水平或竖向净距大于5m的明挖类管线工程。</v>
      </c>
      <c r="V10" s="129" t="s">
        <v>178</v>
      </c>
      <c r="W10" s="129" t="str">
        <f>INDEX('Project Plan'!$J:$J,MATCH(A10,'Project Plan'!$B:$B,0))</f>
        <v>已通过</v>
      </c>
      <c r="X10" s="129" t="str">
        <f>INDEX('Project Plan'!$K:$K,MATCH(A10,'Project Plan'!$B:$B,0))</f>
        <v>已上传</v>
      </c>
    </row>
    <row r="11" spans="1:24" ht="58" x14ac:dyDescent="0.25">
      <c r="A11" s="132">
        <v>202510066</v>
      </c>
      <c r="B11" s="131" t="str">
        <f>IF(B$1=-1,"",INDEX(INDEX('Project List'!$1:$1048576,0,B$1),MATCH($A11,'Project List'!$A:$A,0)))</f>
        <v>临平北路5弄、89弄、四平路288弄燃气管道改造</v>
      </c>
      <c r="C11" s="129" t="str">
        <f>IF(C$1=-1,"",INDEX(INDEX('Project List'!$1:$1048576,0,C$1),MATCH($A11,'Project List'!$A:$A,0)))</f>
        <v>管线</v>
      </c>
      <c r="D11" s="129" t="str">
        <f>IF(D$1=-1,"",INDEX(INDEX('Project List'!$1:$1048576,0,D$1),MATCH($A11,'Project List'!$A:$A,0)))</f>
        <v>上海燃气市北销售有限公司</v>
      </c>
      <c r="E11" s="129" t="str">
        <f>IF(E$1=-1,"",INDEX(INDEX('Project List'!$1:$1048576,0,E$1),MATCH($A11,'Project List'!$A:$A,0)))</f>
        <v>许可类</v>
      </c>
      <c r="F11" s="129" t="str">
        <f>IF(F$1=-1,"",INDEX(INDEX('Project List'!$1:$1048576,0,F$1),MATCH($A11,'Project List'!$A:$A,0)))</f>
        <v>上海燃气市北销售有限公司</v>
      </c>
      <c r="G11" s="129" t="str">
        <f>IF(G$1=-1,"",INDEX(INDEX('Project List'!$1:$1048576,0,G$1),MATCH($A11,'Project List'!$A:$A,0)))</f>
        <v>虹口区西临四平路南临临平北路</v>
      </c>
      <c r="H11" s="129" t="str">
        <f>IF(H$1=-1,"",INDEX(INDEX('Project List'!$1:$1048576,0,H$1),MATCH($A11,'Project List'!$A:$A,0)))</f>
        <v>地铁运营线路10号线四平路站至邮电新村站区间</v>
      </c>
      <c r="I11" s="129"/>
      <c r="J11" s="129" t="str">
        <f>IF(J$1=-1,"",INDEX(INDEX('Project List'!$1:$1048576,0,J$1),MATCH($A11,'Project List'!$A:$A,0)))</f>
        <v>否</v>
      </c>
      <c r="K11" s="129" t="str">
        <f>IF(K$1=-1,"",INDEX(INDEX('Project List'!$1:$1048576,0,K$1),MATCH($A11,'Project List'!$A:$A,0)))</f>
        <v>否</v>
      </c>
      <c r="L11" s="129" t="str">
        <f>IF(L$1=-1,"",INDEX(INDEX('Project List'!$1:$1048576,0,L$1),MATCH($A11,'Project List'!$A:$A,0)))</f>
        <v>否</v>
      </c>
      <c r="M11" s="130" t="str">
        <f t="shared" ref="M11:M16" si="3">LEFT(G11,FIND("区",G11))</f>
        <v>虹口区</v>
      </c>
      <c r="N11" s="131" t="s">
        <v>213</v>
      </c>
      <c r="O11" s="130" t="str">
        <f t="shared" si="2"/>
        <v>10</v>
      </c>
      <c r="P11" s="129" t="str">
        <f>IF($W11&lt;&gt;"已通过","待确认",IF(IF(P$1=-1,"",INDEX(INDEX('Project List'!$1:$1048576,0,P$1),MATCH($A11,'Project List'!$A:$A,0)))="","未涉及",IF(P$1=-1,"",INDEX(INDEX('Project List'!$1:$1048576,0,P$1),MATCH($A11,'Project List'!$A:$A,0)))))</f>
        <v>未涉及</v>
      </c>
      <c r="Q11" s="129" t="str">
        <f>IF($W11&lt;&gt;"已通过","待确认",IF(IF(Q$1=-1,"",INDEX(INDEX('Project List'!$1:$1048576,0,Q$1),MATCH($A11,'Project List'!$A:$A,0)))="","未涉及",IF(Q$1=-1,"",INDEX(INDEX('Project List'!$1:$1048576,0,Q$1),MATCH($A11,'Project List'!$A:$A,0)))))</f>
        <v>单圆</v>
      </c>
      <c r="R11" s="129" t="str">
        <f>IF($W11&lt;&gt;"已通过","待确认",IF(IF(R$1=-1,"",INDEX(INDEX('Project List'!$1:$1048576,0,R$1),MATCH($A11,'Project List'!$A:$A,0)))="","未涉及",IF(R$1=-1,"",INDEX(INDEX('Project List'!$1:$1048576,0,R$1),MATCH($A11,'Project List'!$A:$A,0)))))</f>
        <v>未涉及</v>
      </c>
      <c r="S11" s="129" t="str">
        <f>IF($W11&lt;&gt;"已通过","待确认",IF(IF(S$1=-1,"",INDEX(INDEX('Project List'!$1:$1048576,0,S$1),MATCH($A11,'Project List'!$A:$A,0)))="","未涉及",IF(S$1=-1,"",INDEX(INDEX('Project List'!$1:$1048576,0,S$1),MATCH($A11,'Project List'!$A:$A,0)))))</f>
        <v>1.0月</v>
      </c>
      <c r="T11" s="129" t="str">
        <f>IF(T$1=-1,"",INDEX(INDEX('Project List'!$1:$1048576,0,T$1),MATCH($A11,'Project List'!$A:$A,0)))</f>
        <v>是</v>
      </c>
      <c r="U11" s="129" t="str">
        <f>IF(U$1=-1,"",INDEX(INDEX('Project List'!$1:$1048576,0,U$1),MATCH($A11,'Project List'!$A:$A,0)))</f>
        <v>5、对应地铁地下隧道——挖深不超过4m且围护与区间隧道水平或竖向净距大于5m的明挖类管线工程。</v>
      </c>
      <c r="V11" s="129" t="s">
        <v>178</v>
      </c>
      <c r="W11" s="129" t="str">
        <f>INDEX('Project Plan'!$J:$J,MATCH(A11,'Project Plan'!$B:$B,0))</f>
        <v>已通过</v>
      </c>
      <c r="X11" s="129" t="str">
        <f>INDEX('Project Plan'!$K:$K,MATCH(A11,'Project Plan'!$B:$B,0))</f>
        <v>已上传</v>
      </c>
    </row>
    <row r="12" spans="1:24" ht="87" x14ac:dyDescent="0.25">
      <c r="A12" s="129">
        <v>202511035</v>
      </c>
      <c r="B12" s="129" t="str">
        <f>IF(B$1=-1,"",INDEX(INDEX('Project List'!$1:$1048576,0,B$1),MATCH($A12,'Project List'!$A:$A,0)))</f>
        <v>圣安达公寓</v>
      </c>
      <c r="C12" s="129" t="str">
        <f>IF(C$1=-1,"",INDEX(INDEX('Project List'!$1:$1048576,0,C$1),MATCH($A12,'Project List'!$A:$A,0)))</f>
        <v>勘探</v>
      </c>
      <c r="D12" s="129" t="str">
        <f>IF(D$1=-1,"",INDEX(INDEX('Project List'!$1:$1048576,0,D$1),MATCH($A12,'Project List'!$A:$A,0)))</f>
        <v>上海圣安达酒店有限公司</v>
      </c>
      <c r="E12" s="129" t="str">
        <f>IF(E$1=-1,"",INDEX(INDEX('Project List'!$1:$1048576,0,E$1),MATCH($A12,'Project List'!$A:$A,0)))</f>
        <v>许可类</v>
      </c>
      <c r="F12" s="129" t="str">
        <f>IF(F$1=-1,"",INDEX(INDEX('Project List'!$1:$1048576,0,F$1),MATCH($A12,'Project List'!$A:$A,0)))</f>
        <v>上海圣安达酒店有限公司</v>
      </c>
      <c r="G12" s="129" t="str">
        <f>IF(G$1=-1,"",INDEX(INDEX('Project List'!$1:$1048576,0,G$1),MATCH($A12,'Project List'!$A:$A,0)))</f>
        <v>普陀区东临真北路西临子洲路南临铜川路北临金鼎路</v>
      </c>
      <c r="H12" s="129" t="str">
        <f>IF(H$1=-1,"",INDEX(INDEX('Project List'!$1:$1048576,0,H$1),MATCH($A12,'Project List'!$A:$A,0)))</f>
        <v>地铁运营线路14号线铜川路站至真光路站区间</v>
      </c>
      <c r="I12" s="129"/>
      <c r="J12" s="129" t="str">
        <f>IF(J$1=-1,"",INDEX(INDEX('Project List'!$1:$1048576,0,J$1),MATCH($A12,'Project List'!$A:$A,0)))</f>
        <v>否</v>
      </c>
      <c r="K12" s="129" t="str">
        <f>IF(K$1=-1,"",INDEX(INDEX('Project List'!$1:$1048576,0,K$1),MATCH($A12,'Project List'!$A:$A,0)))</f>
        <v>否</v>
      </c>
      <c r="L12" s="129" t="str">
        <f>IF(L$1=-1,"",INDEX(INDEX('Project List'!$1:$1048576,0,L$1),MATCH($A12,'Project List'!$A:$A,0)))</f>
        <v>否</v>
      </c>
      <c r="M12" s="130" t="str">
        <f t="shared" si="3"/>
        <v>普陀区</v>
      </c>
      <c r="N12" s="131" t="s">
        <v>224</v>
      </c>
      <c r="O12" s="130" t="str">
        <f t="shared" si="2"/>
        <v>14</v>
      </c>
      <c r="P12" s="129" t="str">
        <f>IF($W12&lt;&gt;"已通过","待确认",IF(IF(P$1=-1,"",INDEX(INDEX('Project List'!$1:$1048576,0,P$1),MATCH($A12,'Project List'!$A:$A,0)))="","未涉及",IF(P$1=-1,"",INDEX(INDEX('Project List'!$1:$1048576,0,P$1),MATCH($A12,'Project List'!$A:$A,0)))))</f>
        <v>未涉及</v>
      </c>
      <c r="Q12" s="131" t="str">
        <f>IF($W12&lt;&gt;"已通过","待确认",IF(IF(Q$1=-1,"",INDEX(INDEX('Project List'!$1:$1048576,0,Q$1),MATCH($A12,'Project List'!$A:$A,0)))="","未涉及",IF(Q$1=-1,"",INDEX(INDEX('Project List'!$1:$1048576,0,Q$1),MATCH($A12,'Project List'!$A:$A,0)))))</f>
        <v>双圆</v>
      </c>
      <c r="R12" s="129" t="str">
        <f>IF($W12&lt;&gt;"已通过","待确认",IF(IF(R$1=-1,"",INDEX(INDEX('Project List'!$1:$1048576,0,R$1),MATCH($A12,'Project List'!$A:$A,0)))="","未涉及",IF(R$1=-1,"",INDEX(INDEX('Project List'!$1:$1048576,0,R$1),MATCH($A12,'Project List'!$A:$A,0)))))</f>
        <v>旁通道</v>
      </c>
      <c r="S12" s="129" t="str">
        <f>IF($W12&lt;&gt;"已通过","待确认",IF(IF(S$1=-1,"",INDEX(INDEX('Project List'!$1:$1048576,0,S$1),MATCH($A12,'Project List'!$A:$A,0)))="","未涉及",IF(S$1=-1,"",INDEX(INDEX('Project List'!$1:$1048576,0,S$1),MATCH($A12,'Project List'!$A:$A,0)))))</f>
        <v>1.0月</v>
      </c>
      <c r="T12" s="129" t="str">
        <f>IF(T$1=-1,"",INDEX(INDEX('Project List'!$1:$1048576,0,T$1),MATCH($A12,'Project List'!$A:$A,0)))</f>
        <v>是</v>
      </c>
      <c r="U12" s="129" t="str">
        <f>IF(U$1=-1,"",INDEX(INDEX('Project List'!$1:$1048576,0,U$1),MATCH($A12,'Project List'!$A:$A,0)))</f>
        <v>2、距离地铁结构10m以外的勘察工程(不包含水勘)。</v>
      </c>
      <c r="V12" s="129" t="s">
        <v>178</v>
      </c>
      <c r="W12" s="129" t="str">
        <f>INDEX('Project Plan'!$J:$J,MATCH(A12,'Project Plan'!$B:$B,0))</f>
        <v>已通过</v>
      </c>
      <c r="X12" s="129" t="str">
        <f>INDEX('Project Plan'!$K:$K,MATCH(A12,'Project Plan'!$B:$B,0))</f>
        <v>已上传</v>
      </c>
    </row>
    <row r="13" spans="1:24" ht="101.5" x14ac:dyDescent="0.25">
      <c r="A13" s="129">
        <v>202507054</v>
      </c>
      <c r="B13" s="129" t="str">
        <f>IF(B$1=-1,"",INDEX(INDEX('Project List'!$1:$1048576,0,B$1),MATCH($A13,'Project List'!$A:$A,0)))</f>
        <v>世博水环品质提升工程（一期）D段</v>
      </c>
      <c r="C13" s="129" t="str">
        <f>IF(C$1=-1,"",INDEX(INDEX('Project List'!$1:$1048576,0,C$1),MATCH($A13,'Project List'!$A:$A,0)))</f>
        <v>绿化</v>
      </c>
      <c r="D13" s="129" t="str">
        <f>IF(D$1=-1,"",INDEX(INDEX('Project List'!$1:$1048576,0,D$1),MATCH($A13,'Project List'!$A:$A,0)))</f>
        <v>上海市浦东新区生态环境局基建项目和资产管理事务中心</v>
      </c>
      <c r="E13" s="129" t="str">
        <f>IF(E$1=-1,"",INDEX(INDEX('Project List'!$1:$1048576,0,E$1),MATCH($A13,'Project List'!$A:$A,0)))</f>
        <v>许可类</v>
      </c>
      <c r="F13" s="129" t="str">
        <f>IF(F$1=-1,"",INDEX(INDEX('Project List'!$1:$1048576,0,F$1),MATCH($A13,'Project List'!$A:$A,0)))</f>
        <v>上海市浦东新区生态环境局基建项目和资产管理事务中心</v>
      </c>
      <c r="G13" s="129" t="str">
        <f>IF(G$1=-1,"",INDEX(INDEX('Project List'!$1:$1048576,0,G$1),MATCH($A13,'Project List'!$A:$A,0)))</f>
        <v>浦东新区东临东明路西临规划云台路南临三林路北临三林塘</v>
      </c>
      <c r="H13" s="129" t="str">
        <f>IF(H$1=-1,"",INDEX(INDEX('Project List'!$1:$1048576,0,H$1),MATCH($A13,'Project List'!$A:$A,0)))</f>
        <v>地铁运营线路11号线三林站至三林东站区间</v>
      </c>
      <c r="I13" s="129"/>
      <c r="J13" s="129" t="str">
        <f>IF(J$1=-1,"",INDEX(INDEX('Project List'!$1:$1048576,0,J$1),MATCH($A13,'Project List'!$A:$A,0)))</f>
        <v>待确认</v>
      </c>
      <c r="K13" s="129" t="str">
        <f>IF(K$1=-1,"",INDEX(INDEX('Project List'!$1:$1048576,0,K$1),MATCH($A13,'Project List'!$A:$A,0)))</f>
        <v>是</v>
      </c>
      <c r="L13" s="129" t="str">
        <f>IF(L$1=-1,"",INDEX(INDEX('Project List'!$1:$1048576,0,L$1),MATCH($A13,'Project List'!$A:$A,0)))</f>
        <v>否</v>
      </c>
      <c r="M13" s="130" t="str">
        <f t="shared" si="3"/>
        <v>浦东新区</v>
      </c>
      <c r="N13" s="131"/>
      <c r="O13" s="130" t="str">
        <f t="shared" si="2"/>
        <v>11</v>
      </c>
      <c r="P13" s="129" t="str">
        <f>IF($W13&lt;&gt;"已通过","待确认",IF(IF(P$1=-1,"",INDEX(INDEX('Project List'!$1:$1048576,0,P$1),MATCH($A13,'Project List'!$A:$A,0)))="","未涉及",IF(P$1=-1,"",INDEX(INDEX('Project List'!$1:$1048576,0,P$1),MATCH($A13,'Project List'!$A:$A,0)))))</f>
        <v>待确认</v>
      </c>
      <c r="Q13" s="129" t="str">
        <f>IF($W13&lt;&gt;"已通过","待确认",IF(IF(Q$1=-1,"",INDEX(INDEX('Project List'!$1:$1048576,0,Q$1),MATCH($A13,'Project List'!$A:$A,0)))="","未涉及",IF(Q$1=-1,"",INDEX(INDEX('Project List'!$1:$1048576,0,Q$1),MATCH($A13,'Project List'!$A:$A,0)))))</f>
        <v>待确认</v>
      </c>
      <c r="R13" s="129" t="str">
        <f>IF($W13&lt;&gt;"已通过","待确认",IF(IF(R$1=-1,"",INDEX(INDEX('Project List'!$1:$1048576,0,R$1),MATCH($A13,'Project List'!$A:$A,0)))="","未涉及",IF(R$1=-1,"",INDEX(INDEX('Project List'!$1:$1048576,0,R$1),MATCH($A13,'Project List'!$A:$A,0)))))</f>
        <v>待确认</v>
      </c>
      <c r="S13" s="129" t="str">
        <f>IF($W13&lt;&gt;"已通过","待确认",IF(IF(S$1=-1,"",INDEX(INDEX('Project List'!$1:$1048576,0,S$1),MATCH($A13,'Project List'!$A:$A,0)))="","未涉及",IF(S$1=-1,"",INDEX(INDEX('Project List'!$1:$1048576,0,S$1),MATCH($A13,'Project List'!$A:$A,0)))))</f>
        <v>待确认</v>
      </c>
      <c r="T13" s="129" t="str">
        <f>IF(T$1=-1,"",INDEX(INDEX('Project List'!$1:$1048576,0,T$1),MATCH($A13,'Project List'!$A:$A,0)))</f>
        <v>是</v>
      </c>
      <c r="U13" s="129" t="str">
        <f>IF(U$1=-1,"",INDEX(INDEX('Project List'!$1:$1048576,0,U$1),MATCH($A13,'Project List'!$A:$A,0)))</f>
        <v>3、荷载满足加载控制要求且无需标高复测的道路、园林绿化类工程。</v>
      </c>
      <c r="V13" s="129" t="s">
        <v>178</v>
      </c>
      <c r="W13" s="129" t="str">
        <f>INDEX('Project Plan'!$J:$J,MATCH(A13,'Project Plan'!$B:$B,0))</f>
        <v>退回</v>
      </c>
      <c r="X13" s="129" t="str">
        <f>INDEX('Project Plan'!$K:$K,MATCH(A13,'Project Plan'!$B:$B,0))</f>
        <v>退回</v>
      </c>
    </row>
    <row r="14" spans="1:24" ht="58" x14ac:dyDescent="0.25">
      <c r="A14" s="129">
        <v>202510065</v>
      </c>
      <c r="B14" s="129" t="str">
        <f>IF(B$1=-1,"",INDEX(INDEX('Project List'!$1:$1048576,0,B$1),MATCH($A14,'Project List'!$A:$A,0)))</f>
        <v>广纪路65弄燃气管道改造</v>
      </c>
      <c r="C14" s="129" t="str">
        <f>IF(C$1=-1,"",INDEX(INDEX('Project List'!$1:$1048576,0,C$1),MATCH($A14,'Project List'!$A:$A,0)))</f>
        <v>管线</v>
      </c>
      <c r="D14" s="129" t="str">
        <f>IF(D$1=-1,"",INDEX(INDEX('Project List'!$1:$1048576,0,D$1),MATCH($A14,'Project List'!$A:$A,0)))</f>
        <v>上海燃气市北销售有限公司</v>
      </c>
      <c r="E14" s="129" t="str">
        <f>IF(E$1=-1,"",INDEX(INDEX('Project List'!$1:$1048576,0,E$1),MATCH($A14,'Project List'!$A:$A,0)))</f>
        <v>许可类</v>
      </c>
      <c r="F14" s="129" t="str">
        <f>IF(F$1=-1,"",INDEX(INDEX('Project List'!$1:$1048576,0,F$1),MATCH($A14,'Project List'!$A:$A,0)))</f>
        <v>上海燃气市北销售有限公司</v>
      </c>
      <c r="G14" s="129" t="str">
        <f>IF(G$1=-1,"",INDEX(INDEX('Project List'!$1:$1048576,0,G$1),MATCH($A14,'Project List'!$A:$A,0)))</f>
        <v>虹口区东临广济路北临广灵二路</v>
      </c>
      <c r="H14" s="129" t="str">
        <f>IF(H$1=-1,"",INDEX(INDEX('Project List'!$1:$1048576,0,H$1),MATCH($A14,'Project List'!$A:$A,0)))</f>
        <v>地铁运营线路3号线赤峰路车站</v>
      </c>
      <c r="I14" s="131" t="s">
        <v>243</v>
      </c>
      <c r="J14" s="129" t="str">
        <f>IF(J$1=-1,"",INDEX(INDEX('Project List'!$1:$1048576,0,J$1),MATCH($A14,'Project List'!$A:$A,0)))</f>
        <v>否</v>
      </c>
      <c r="K14" s="129" t="str">
        <f>IF(K$1=-1,"",INDEX(INDEX('Project List'!$1:$1048576,0,K$1),MATCH($A14,'Project List'!$A:$A,0)))</f>
        <v>否</v>
      </c>
      <c r="L14" s="129" t="str">
        <f>IF(L$1=-1,"",INDEX(INDEX('Project List'!$1:$1048576,0,L$1),MATCH($A14,'Project List'!$A:$A,0)))</f>
        <v>否</v>
      </c>
      <c r="M14" s="130" t="str">
        <f t="shared" si="3"/>
        <v>虹口区</v>
      </c>
      <c r="N14" s="131" t="s">
        <v>237</v>
      </c>
      <c r="O14" s="130" t="str">
        <f t="shared" si="2"/>
        <v>3</v>
      </c>
      <c r="P14" s="129" t="str">
        <f>IF($W14&lt;&gt;"已通过","待确认",IF(IF(P$1=-1,"",INDEX(INDEX('Project List'!$1:$1048576,0,P$1),MATCH($A14,'Project List'!$A:$A,0)))="","未涉及",IF(P$1=-1,"",INDEX(INDEX('Project List'!$1:$1048576,0,P$1),MATCH($A14,'Project List'!$A:$A,0)))))</f>
        <v>地上</v>
      </c>
      <c r="Q14" s="129" t="str">
        <f>IF($W14&lt;&gt;"已通过","待确认",IF(IF(Q$1=-1,"",INDEX(INDEX('Project List'!$1:$1048576,0,Q$1),MATCH($A14,'Project List'!$A:$A,0)))="","未涉及",IF(Q$1=-1,"",INDEX(INDEX('Project List'!$1:$1048576,0,Q$1),MATCH($A14,'Project List'!$A:$A,0)))))</f>
        <v>高架</v>
      </c>
      <c r="R14" s="129" t="str">
        <f>IF($W14&lt;&gt;"已通过","待确认",IF(IF(R$1=-1,"",INDEX(INDEX('Project List'!$1:$1048576,0,R$1),MATCH($A14,'Project List'!$A:$A,0)))="","未涉及",IF(R$1=-1,"",INDEX(INDEX('Project List'!$1:$1048576,0,R$1),MATCH($A14,'Project List'!$A:$A,0)))))</f>
        <v>未涉及</v>
      </c>
      <c r="S14" s="129" t="str">
        <f>IF($W14&lt;&gt;"已通过","待确认",IF(IF(S$1=-1,"",INDEX(INDEX('Project List'!$1:$1048576,0,S$1),MATCH($A14,'Project List'!$A:$A,0)))="","未涉及",IF(S$1=-1,"",INDEX(INDEX('Project List'!$1:$1048576,0,S$1),MATCH($A14,'Project List'!$A:$A,0)))))</f>
        <v>1.0月</v>
      </c>
      <c r="T14" s="129" t="str">
        <f>IF(T$1=-1,"",INDEX(INDEX('Project List'!$1:$1048576,0,T$1),MATCH($A14,'Project List'!$A:$A,0)))</f>
        <v>是</v>
      </c>
      <c r="U14" s="129" t="str">
        <f>IF(U$1=-1,"",INDEX(INDEX('Project List'!$1:$1048576,0,U$1),MATCH($A14,'Project List'!$A:$A,0)))</f>
        <v>6、对应地铁高架————挖深不超过3m且距离高架承台大于3m，并采用横列板支护的明挖管线工程。</v>
      </c>
      <c r="V14" s="129" t="s">
        <v>178</v>
      </c>
      <c r="W14" s="129" t="str">
        <f>INDEX('Project Plan'!$J:$J,MATCH(A14,'Project Plan'!$B:$B,0))</f>
        <v>已通过</v>
      </c>
      <c r="X14" s="129"/>
    </row>
    <row r="15" spans="1:24" ht="58" x14ac:dyDescent="0.25">
      <c r="A15" s="129">
        <v>202510064</v>
      </c>
      <c r="B15" s="129" t="str">
        <f>IF(B$1=-1,"",INDEX(INDEX('Project List'!$1:$1048576,0,B$1),MATCH($A15,'Project List'!$A:$A,0)))</f>
        <v>广纪路19号燃气管道改造</v>
      </c>
      <c r="C15" s="129" t="str">
        <f>IF(C$1=-1,"",INDEX(INDEX('Project List'!$1:$1048576,0,C$1),MATCH($A15,'Project List'!$A:$A,0)))</f>
        <v>管线</v>
      </c>
      <c r="D15" s="129" t="str">
        <f>IF(D$1=-1,"",INDEX(INDEX('Project List'!$1:$1048576,0,D$1),MATCH($A15,'Project List'!$A:$A,0)))</f>
        <v>上海燃气市北销售有限公司</v>
      </c>
      <c r="E15" s="129" t="str">
        <f>IF(E$1=-1,"",INDEX(INDEX('Project List'!$1:$1048576,0,E$1),MATCH($A15,'Project List'!$A:$A,0)))</f>
        <v>许可类</v>
      </c>
      <c r="F15" s="129" t="str">
        <f>IF(F$1=-1,"",INDEX(INDEX('Project List'!$1:$1048576,0,F$1),MATCH($A15,'Project List'!$A:$A,0)))</f>
        <v>上海燃气市北销售有限公司</v>
      </c>
      <c r="G15" s="129" t="str">
        <f>IF(G$1=-1,"",INDEX(INDEX('Project List'!$1:$1048576,0,G$1),MATCH($A15,'Project List'!$A:$A,0)))</f>
        <v>虹口区东临广纪路</v>
      </c>
      <c r="H15" s="129" t="str">
        <f>IF(H$1=-1,"",INDEX(INDEX('Project List'!$1:$1048576,0,H$1),MATCH($A15,'Project List'!$A:$A,0)))</f>
        <v>地铁运营线路3号线虹口足球场站至赤峰路站区间</v>
      </c>
      <c r="I15" s="131"/>
      <c r="J15" s="129" t="str">
        <f>IF(J$1=-1,"",INDEX(INDEX('Project List'!$1:$1048576,0,J$1),MATCH($A15,'Project List'!$A:$A,0)))</f>
        <v>否</v>
      </c>
      <c r="K15" s="129" t="str">
        <f>IF(K$1=-1,"",INDEX(INDEX('Project List'!$1:$1048576,0,K$1),MATCH($A15,'Project List'!$A:$A,0)))</f>
        <v>否</v>
      </c>
      <c r="L15" s="129" t="str">
        <f>IF(L$1=-1,"",INDEX(INDEX('Project List'!$1:$1048576,0,L$1),MATCH($A15,'Project List'!$A:$A,0)))</f>
        <v>否</v>
      </c>
      <c r="M15" s="130" t="str">
        <f t="shared" si="3"/>
        <v>虹口区</v>
      </c>
      <c r="N15" s="131" t="s">
        <v>238</v>
      </c>
      <c r="O15" s="130" t="str">
        <f>MID(H15,FIND("线路",H15)+2,FIND("号线",H15)-FIND("线路",H15)-2)</f>
        <v>3</v>
      </c>
      <c r="P15" s="129" t="str">
        <f>IF($W15&lt;&gt;"已通过","待确认",IF(IF(P$1=-1,"",INDEX(INDEX('Project List'!$1:$1048576,0,P$1),MATCH($A15,'Project List'!$A:$A,0)))="","未涉及",IF(P$1=-1,"",INDEX(INDEX('Project List'!$1:$1048576,0,P$1),MATCH($A15,'Project List'!$A:$A,0)))))</f>
        <v>未涉及</v>
      </c>
      <c r="Q15" s="129" t="str">
        <f>IF($W15&lt;&gt;"已通过","待确认",IF(IF(Q$1=-1,"",INDEX(INDEX('Project List'!$1:$1048576,0,Q$1),MATCH($A15,'Project List'!$A:$A,0)))="","未涉及",IF(Q$1=-1,"",INDEX(INDEX('Project List'!$1:$1048576,0,Q$1),MATCH($A15,'Project List'!$A:$A,0)))))</f>
        <v>高架</v>
      </c>
      <c r="R15" s="129" t="str">
        <f>IF($W15&lt;&gt;"已通过","待确认",IF(IF(R$1=-1,"",INDEX(INDEX('Project List'!$1:$1048576,0,R$1),MATCH($A15,'Project List'!$A:$A,0)))="","未涉及",IF(R$1=-1,"",INDEX(INDEX('Project List'!$1:$1048576,0,R$1),MATCH($A15,'Project List'!$A:$A,0)))))</f>
        <v>未涉及</v>
      </c>
      <c r="S15" s="129" t="str">
        <f>IF($W15&lt;&gt;"已通过","待确认",IF(IF(S$1=-1,"",INDEX(INDEX('Project List'!$1:$1048576,0,S$1),MATCH($A15,'Project List'!$A:$A,0)))="","未涉及",IF(S$1=-1,"",INDEX(INDEX('Project List'!$1:$1048576,0,S$1),MATCH($A15,'Project List'!$A:$A,0)))))</f>
        <v>1.0月</v>
      </c>
      <c r="T15" s="129" t="str">
        <f>IF(T$1=-1,"",INDEX(INDEX('Project List'!$1:$1048576,0,T$1),MATCH($A15,'Project List'!$A:$A,0)))</f>
        <v>是</v>
      </c>
      <c r="U15" s="129" t="str">
        <f>IF(U$1=-1,"",INDEX(INDEX('Project List'!$1:$1048576,0,U$1),MATCH($A15,'Project List'!$A:$A,0)))</f>
        <v>6、对应地铁高架————挖深不超过3m且距离高架承台大于3m，并采用横列板支护的明挖管线工程。</v>
      </c>
      <c r="V15" s="129" t="s">
        <v>178</v>
      </c>
      <c r="W15" s="129" t="str">
        <f>INDEX('Project Plan'!$J:$J,MATCH(A15,'Project Plan'!$B:$B,0))</f>
        <v>已通过</v>
      </c>
      <c r="X15" s="129"/>
    </row>
    <row r="16" spans="1:24" ht="58" x14ac:dyDescent="0.25">
      <c r="A16" s="129">
        <v>202510099</v>
      </c>
      <c r="B16" s="129" t="str">
        <f>IF(B$1=-1,"",INDEX(INDEX('Project List'!$1:$1048576,0,B$1),MATCH($A16,'Project List'!$A:$A,0)))</f>
        <v>广纪路171弄、中山北一路665号燃气管道改造</v>
      </c>
      <c r="C16" s="129" t="str">
        <f>IF(C$1=-1,"",INDEX(INDEX('Project List'!$1:$1048576,0,C$1),MATCH($A16,'Project List'!$A:$A,0)))</f>
        <v>管线</v>
      </c>
      <c r="D16" s="129" t="str">
        <f>IF(D$1=-1,"",INDEX(INDEX('Project List'!$1:$1048576,0,D$1),MATCH($A16,'Project List'!$A:$A,0)))</f>
        <v>上海燃气市北销售有限公司</v>
      </c>
      <c r="E16" s="129" t="str">
        <f>IF(E$1=-1,"",INDEX(INDEX('Project List'!$1:$1048576,0,E$1),MATCH($A16,'Project List'!$A:$A,0)))</f>
        <v>许可类</v>
      </c>
      <c r="F16" s="129" t="str">
        <f>IF(F$1=-1,"",INDEX(INDEX('Project List'!$1:$1048576,0,F$1),MATCH($A16,'Project List'!$A:$A,0)))</f>
        <v>上海燃气市北销售有限公司</v>
      </c>
      <c r="G16" s="129" t="str">
        <f>IF(G$1=-1,"",INDEX(INDEX('Project List'!$1:$1048576,0,G$1),MATCH($A16,'Project List'!$A:$A,0)))</f>
        <v>虹口区东临广纪路</v>
      </c>
      <c r="H16" s="129" t="str">
        <f>IF(H$1=-1,"",INDEX(INDEX('Project List'!$1:$1048576,0,H$1),MATCH($A16,'Project List'!$A:$A,0)))</f>
        <v>地铁运营线路3号线大柏树站至赤峰路站区间</v>
      </c>
      <c r="I16" s="129"/>
      <c r="J16" s="129" t="str">
        <f>IF(J$1=-1,"",INDEX(INDEX('Project List'!$1:$1048576,0,J$1),MATCH($A16,'Project List'!$A:$A,0)))</f>
        <v>否</v>
      </c>
      <c r="K16" s="129" t="str">
        <f>IF(K$1=-1,"",INDEX(INDEX('Project List'!$1:$1048576,0,K$1),MATCH($A16,'Project List'!$A:$A,0)))</f>
        <v>待确认</v>
      </c>
      <c r="L16" s="129" t="str">
        <f>IF(L$1=-1,"",INDEX(INDEX('Project List'!$1:$1048576,0,L$1),MATCH($A16,'Project List'!$A:$A,0)))</f>
        <v>待确认</v>
      </c>
      <c r="M16" s="130" t="str">
        <f t="shared" si="3"/>
        <v>虹口区</v>
      </c>
      <c r="N16" s="131" t="s">
        <v>256</v>
      </c>
      <c r="O16" s="130" t="str">
        <f>MID(H16,FIND("线路",H16)+2,FIND("号线",H16)-FIND("线路",H16)-2)</f>
        <v>3</v>
      </c>
      <c r="P16" s="129" t="str">
        <f>IF($W16&lt;&gt;"已通过","待确认",IF(IF(P$1=-1,"",INDEX(INDEX('Project List'!$1:$1048576,0,P$1),MATCH($A16,'Project List'!$A:$A,0)))="","未涉及",IF(P$1=-1,"",INDEX(INDEX('Project List'!$1:$1048576,0,P$1),MATCH($A16,'Project List'!$A:$A,0)))))</f>
        <v>未涉及</v>
      </c>
      <c r="Q16" s="129" t="str">
        <f>IF($W16&lt;&gt;"已通过","待确认",IF(IF(Q$1=-1,"",INDEX(INDEX('Project List'!$1:$1048576,0,Q$1),MATCH($A16,'Project List'!$A:$A,0)))="","未涉及",IF(Q$1=-1,"",INDEX(INDEX('Project List'!$1:$1048576,0,Q$1),MATCH($A16,'Project List'!$A:$A,0)))))</f>
        <v>高架</v>
      </c>
      <c r="R16" s="129" t="str">
        <f>IF($W16&lt;&gt;"已通过","待确认",IF(IF(R$1=-1,"",INDEX(INDEX('Project List'!$1:$1048576,0,R$1),MATCH($A16,'Project List'!$A:$A,0)))="","未涉及",IF(R$1=-1,"",INDEX(INDEX('Project List'!$1:$1048576,0,R$1),MATCH($A16,'Project List'!$A:$A,0)))))</f>
        <v>未涉及</v>
      </c>
      <c r="S16" s="129" t="str">
        <f>IF($W16&lt;&gt;"已通过","待确认",IF(IF(S$1=-1,"",INDEX(INDEX('Project List'!$1:$1048576,0,S$1),MATCH($A16,'Project List'!$A:$A,0)))="","未涉及",IF(S$1=-1,"",INDEX(INDEX('Project List'!$1:$1048576,0,S$1),MATCH($A16,'Project List'!$A:$A,0)))))</f>
        <v>1.0月</v>
      </c>
      <c r="T16" s="129" t="str">
        <f>IF(T$1=-1,"",INDEX(INDEX('Project List'!$1:$1048576,0,T$1),MATCH($A16,'Project List'!$A:$A,0)))</f>
        <v>是</v>
      </c>
      <c r="U16" s="129" t="str">
        <f>IF(U$1=-1,"",INDEX(INDEX('Project List'!$1:$1048576,0,U$1),MATCH($A16,'Project List'!$A:$A,0)))</f>
        <v>6、对应地铁高架————挖深不超过3m且距离高架承台大于3m，并采用横列板支护的明挖管线工程。</v>
      </c>
      <c r="V16" s="129" t="s">
        <v>178</v>
      </c>
      <c r="W16" s="129" t="str">
        <f>INDEX('Project Plan'!$J:$J,MATCH(A16,'Project Plan'!$B:$B,0))</f>
        <v>已通过</v>
      </c>
      <c r="X16" s="129"/>
    </row>
    <row r="17" spans="1:24" ht="87" x14ac:dyDescent="0.25">
      <c r="A17" s="129">
        <v>202511063</v>
      </c>
      <c r="B17" s="129" t="str">
        <f>IF(B$1=-1,"",INDEX(INDEX('Project List'!$1:$1048576,0,B$1),MATCH($A17,'Project List'!$A:$A,0)))</f>
        <v>皋兰山路武威路上水排管项目</v>
      </c>
      <c r="C17" s="129" t="str">
        <f>IF(C$1=-1,"",INDEX(INDEX('Project List'!$1:$1048576,0,C$1),MATCH($A17,'Project List'!$A:$A,0)))</f>
        <v>管线</v>
      </c>
      <c r="D17" s="129" t="str">
        <f>IF(D$1=-1,"",INDEX(INDEX('Project List'!$1:$1048576,0,D$1),MATCH($A17,'Project List'!$A:$A,0)))</f>
        <v>上海城投水务（集团）有限公司自来水业务受理分公司</v>
      </c>
      <c r="E17" s="129" t="str">
        <f>IF(E$1=-1,"",INDEX(INDEX('Project List'!$1:$1048576,0,E$1),MATCH($A17,'Project List'!$A:$A,0)))</f>
        <v>许可类</v>
      </c>
      <c r="F17" s="129" t="str">
        <f>IF(F$1=-1,"",INDEX(INDEX('Project List'!$1:$1048576,0,F$1),MATCH($A17,'Project List'!$A:$A,0)))</f>
        <v>上海城投水务（集团）有限公司自来水业务受理分公司</v>
      </c>
      <c r="G17" s="129" t="str">
        <f>IF(G$1=-1,"",INDEX(INDEX('Project List'!$1:$1048576,0,G$1),MATCH($A17,'Project List'!$A:$A,0)))</f>
        <v>普陀区东临真南路西临山丹路南临永登路北临常和路</v>
      </c>
      <c r="H17" s="131" t="s">
        <v>254</v>
      </c>
      <c r="I17" s="129"/>
      <c r="J17" s="129" t="str">
        <f>IF(J$1=-1,"",INDEX(INDEX('Project List'!$1:$1048576,0,J$1),MATCH($A17,'Project List'!$A:$A,0)))</f>
        <v>否</v>
      </c>
      <c r="K17" s="129" t="str">
        <f>IF(K$1=-1,"",INDEX(INDEX('Project List'!$1:$1048576,0,K$1),MATCH($A17,'Project List'!$A:$A,0)))</f>
        <v>待确认</v>
      </c>
      <c r="L17" s="129" t="str">
        <f>IF(L$1=-1,"",INDEX(INDEX('Project List'!$1:$1048576,0,L$1),MATCH($A17,'Project List'!$A:$A,0)))</f>
        <v>待确认</v>
      </c>
      <c r="M17" s="130" t="str">
        <f t="shared" ref="M17" si="4">LEFT(G17,FIND("区",G17))</f>
        <v>普陀区</v>
      </c>
      <c r="N17" s="131" t="s">
        <v>273</v>
      </c>
      <c r="O17" s="130" t="str">
        <f>MID(H17,FIND("线路",H17)+2,FIND("号线",H17)-FIND("线路",H17)-2)</f>
        <v>11</v>
      </c>
      <c r="P17" s="131" t="s">
        <v>255</v>
      </c>
      <c r="Q17" s="131" t="s">
        <v>202</v>
      </c>
      <c r="R17" s="131" t="s">
        <v>255</v>
      </c>
      <c r="S17" s="131" t="s">
        <v>83</v>
      </c>
      <c r="T17" s="129" t="str">
        <f>IF(T$1=-1,"",INDEX(INDEX('Project List'!$1:$1048576,0,T$1),MATCH($A17,'Project List'!$A:$A,0)))</f>
        <v>是</v>
      </c>
      <c r="U17" s="129" t="str">
        <f>IF(U$1=-1,"",INDEX(INDEX('Project List'!$1:$1048576,0,U$1),MATCH($A17,'Project List'!$A:$A,0)))</f>
        <v>5、对应地铁地下隧道——挖深不超过4m且围护与区间隧道水平或竖向净距大于5m的明挖类管线工程。</v>
      </c>
      <c r="V17" s="129" t="s">
        <v>160</v>
      </c>
      <c r="W17" s="129"/>
      <c r="X17" s="129"/>
    </row>
    <row r="18" spans="1:24" ht="101.5" x14ac:dyDescent="0.25">
      <c r="A18" s="129">
        <v>202504072</v>
      </c>
      <c r="B18" s="129" t="str">
        <f>IF(B$1=-1,"",INDEX(INDEX('Project List'!$1:$1048576,0,B$1),MATCH($A18,'Project List'!$A:$A,0)))</f>
        <v>世博水环品质提升工程（一期）D段</v>
      </c>
      <c r="C18" s="129" t="str">
        <f>IF(C$1=-1,"",INDEX(INDEX('Project List'!$1:$1048576,0,C$1),MATCH($A18,'Project List'!$A:$A,0)))</f>
        <v>绿化</v>
      </c>
      <c r="D18" s="129" t="str">
        <f>IF(D$1=-1,"",INDEX(INDEX('Project List'!$1:$1048576,0,D$1),MATCH($A18,'Project List'!$A:$A,0)))</f>
        <v>上海市浦东新区生态环境局基建项目和资产管理事务中心</v>
      </c>
      <c r="E18" s="129" t="str">
        <f>IF(E$1=-1,"",INDEX(INDEX('Project List'!$1:$1048576,0,E$1),MATCH($A18,'Project List'!$A:$A,0)))</f>
        <v>许可类</v>
      </c>
      <c r="F18" s="129" t="str">
        <f>IF(F$1=-1,"",INDEX(INDEX('Project List'!$1:$1048576,0,F$1),MATCH($A18,'Project List'!$A:$A,0)))</f>
        <v>上海市浦东新区生态环境局基建项目和资产管理事务中心</v>
      </c>
      <c r="G18" s="129" t="str">
        <f>IF(G$1=-1,"",INDEX(INDEX('Project List'!$1:$1048576,0,G$1),MATCH($A18,'Project List'!$A:$A,0)))</f>
        <v>浦东新区东临东明路西临规划云台路南临三林路北临三林塘</v>
      </c>
      <c r="H18" s="129" t="str">
        <f>IF(H$1=-1,"",INDEX(INDEX('Project List'!$1:$1048576,0,H$1),MATCH($A18,'Project List'!$A:$A,0)))</f>
        <v>地铁运营线路11号线三林站至三林东站区间</v>
      </c>
      <c r="I18" s="131"/>
      <c r="J18" s="129" t="str">
        <f>IF(J$1=-1,"",INDEX(INDEX('Project List'!$1:$1048576,0,J$1),MATCH($A18,'Project List'!$A:$A,0)))</f>
        <v>否</v>
      </c>
      <c r="K18" s="129" t="str">
        <f>IF(K$1=-1,"",INDEX(INDEX('Project List'!$1:$1048576,0,K$1),MATCH($A18,'Project List'!$A:$A,0)))</f>
        <v>否</v>
      </c>
      <c r="L18" s="129" t="str">
        <f>IF(L$1=-1,"",INDEX(INDEX('Project List'!$1:$1048576,0,L$1),MATCH($A18,'Project List'!$A:$A,0)))</f>
        <v>否</v>
      </c>
      <c r="M18" s="130" t="str">
        <f t="shared" ref="M18:M21" si="5">LEFT(G18,FIND("区",G18))</f>
        <v>浦东新区</v>
      </c>
      <c r="N18" s="131" t="s">
        <v>268</v>
      </c>
      <c r="O18" s="130" t="str">
        <f t="shared" ref="O18:O19" si="6">MID(H18,FIND("线路",H18)+2,FIND("号线",H18)-FIND("线路",H18)-2)</f>
        <v>11</v>
      </c>
      <c r="P18" s="129" t="str">
        <f>IF($W18&lt;&gt;"已通过","待确认",IF(IF(P$1=-1,"",INDEX(INDEX('Project List'!$1:$1048576,0,P$1),MATCH($A18,'Project List'!$A:$A,0)))="","未涉及",IF(P$1=-1,"",INDEX(INDEX('Project List'!$1:$1048576,0,P$1),MATCH($A18,'Project List'!$A:$A,0)))))</f>
        <v>未涉及</v>
      </c>
      <c r="Q18" s="129" t="str">
        <f>IF($W18&lt;&gt;"已通过","待确认",IF(IF(Q$1=-1,"",INDEX(INDEX('Project List'!$1:$1048576,0,Q$1),MATCH($A18,'Project List'!$A:$A,0)))="","未涉及",IF(Q$1=-1,"",INDEX(INDEX('Project List'!$1:$1048576,0,Q$1),MATCH($A18,'Project List'!$A:$A,0)))))</f>
        <v>单圆</v>
      </c>
      <c r="R18" s="129" t="str">
        <f>IF($W18&lt;&gt;"已通过","待确认",IF(IF(R$1=-1,"",INDEX(INDEX('Project List'!$1:$1048576,0,R$1),MATCH($A18,'Project List'!$A:$A,0)))="","未涉及",IF(R$1=-1,"",INDEX(INDEX('Project List'!$1:$1048576,0,R$1),MATCH($A18,'Project List'!$A:$A,0)))))</f>
        <v>旁通道</v>
      </c>
      <c r="S18" s="129" t="str">
        <f>IF($W18&lt;&gt;"已通过","待确认",IF(IF(S$1=-1,"",INDEX(INDEX('Project List'!$1:$1048576,0,S$1),MATCH($A18,'Project List'!$A:$A,0)))="","未涉及",IF(S$1=-1,"",INDEX(INDEX('Project List'!$1:$1048576,0,S$1),MATCH($A18,'Project List'!$A:$A,0)))))</f>
        <v>3.0月</v>
      </c>
      <c r="T18" s="129" t="str">
        <f>IF(T$1=-1,"",INDEX(INDEX('Project List'!$1:$1048576,0,T$1),MATCH($A18,'Project List'!$A:$A,0)))</f>
        <v>是</v>
      </c>
      <c r="U18" s="129" t="str">
        <f>IF(U$1=-1,"",INDEX(INDEX('Project List'!$1:$1048576,0,U$1),MATCH($A18,'Project List'!$A:$A,0)))</f>
        <v>3、荷载满足加载控制要求且无需标高复测的道路、园林绿化类工程。</v>
      </c>
      <c r="V18" s="129" t="s">
        <v>178</v>
      </c>
      <c r="W18" s="129" t="str">
        <f>INDEX('Project Plan'!$J:$J,MATCH(A18,'Project Plan'!$B:$B,0))</f>
        <v>已通过</v>
      </c>
      <c r="X18" s="129"/>
    </row>
    <row r="19" spans="1:24" ht="116" x14ac:dyDescent="0.25">
      <c r="A19" s="129">
        <v>202511064</v>
      </c>
      <c r="B19" s="129" t="str">
        <f>IF(B$1=-1,"",INDEX(INDEX('Project List'!$1:$1048576,0,B$1),MATCH($A19,'Project List'!$A:$A,0)))</f>
        <v>上海市区长宁愚园路699号项目接入工程</v>
      </c>
      <c r="C19" s="129" t="str">
        <f>IF(C$1=-1,"",INDEX(INDEX('Project List'!$1:$1048576,0,C$1),MATCH($A19,'Project List'!$A:$A,0)))</f>
        <v>管线</v>
      </c>
      <c r="D19" s="129" t="str">
        <f>IF(D$1=-1,"",INDEX(INDEX('Project List'!$1:$1048576,0,D$1),MATCH($A19,'Project List'!$A:$A,0)))</f>
        <v>国网上海市电力公司市区供电公司</v>
      </c>
      <c r="E19" s="129" t="str">
        <f>IF(E$1=-1,"",INDEX(INDEX('Project List'!$1:$1048576,0,E$1),MATCH($A19,'Project List'!$A:$A,0)))</f>
        <v>许可类</v>
      </c>
      <c r="F19" s="129" t="str">
        <f>IF(F$1=-1,"",INDEX(INDEX('Project List'!$1:$1048576,0,F$1),MATCH($A19,'Project List'!$A:$A,0)))</f>
        <v>国网上海市电力公司市区供电公司</v>
      </c>
      <c r="G19" s="129" t="str">
        <f>IF(G$1=-1,"",INDEX(INDEX('Project List'!$1:$1048576,0,G$1),MATCH($A19,'Project List'!$A:$A,0)))</f>
        <v>长宁区东临镇宁路西临愚园路749弄南临愚园路南侧北临愚园路北侧</v>
      </c>
      <c r="H19" s="131" t="s">
        <v>270</v>
      </c>
      <c r="I19" s="131"/>
      <c r="J19" s="129" t="str">
        <f>IF(J$1=-1,"",INDEX(INDEX('Project List'!$1:$1048576,0,J$1),MATCH($A19,'Project List'!$A:$A,0)))</f>
        <v>否</v>
      </c>
      <c r="K19" s="129" t="str">
        <f>IF(K$1=-1,"",INDEX(INDEX('Project List'!$1:$1048576,0,K$1),MATCH($A19,'Project List'!$A:$A,0)))</f>
        <v>否</v>
      </c>
      <c r="L19" s="129" t="str">
        <f>IF(L$1=-1,"",INDEX(INDEX('Project List'!$1:$1048576,0,L$1),MATCH($A19,'Project List'!$A:$A,0)))</f>
        <v>否</v>
      </c>
      <c r="M19" s="130" t="str">
        <f t="shared" si="5"/>
        <v>长宁区</v>
      </c>
      <c r="N19" s="131" t="s">
        <v>269</v>
      </c>
      <c r="O19" s="130" t="str">
        <f t="shared" si="6"/>
        <v>2</v>
      </c>
      <c r="P19" s="129" t="str">
        <f>IF($W19&lt;&gt;"已通过","待确认",IF(IF(P$1=-1,"",INDEX(INDEX('Project List'!$1:$1048576,0,P$1),MATCH($A19,'Project List'!$A:$A,0)))="","未涉及",IF(P$1=-1,"",INDEX(INDEX('Project List'!$1:$1048576,0,P$1),MATCH($A19,'Project List'!$A:$A,0)))))</f>
        <v>未涉及</v>
      </c>
      <c r="Q19" s="129" t="str">
        <f>IF($W19&lt;&gt;"已通过","待确认",IF(IF(Q$1=-1,"",INDEX(INDEX('Project List'!$1:$1048576,0,Q$1),MATCH($A19,'Project List'!$A:$A,0)))="","未涉及",IF(Q$1=-1,"",INDEX(INDEX('Project List'!$1:$1048576,0,Q$1),MATCH($A19,'Project List'!$A:$A,0)))))</f>
        <v>单圆</v>
      </c>
      <c r="R19" s="129" t="str">
        <f>IF($W19&lt;&gt;"已通过","待确认",IF(IF(R$1=-1,"",INDEX(INDEX('Project List'!$1:$1048576,0,R$1),MATCH($A19,'Project List'!$A:$A,0)))="","未涉及",IF(R$1=-1,"",INDEX(INDEX('Project List'!$1:$1048576,0,R$1),MATCH($A19,'Project List'!$A:$A,0)))))</f>
        <v>未涉及</v>
      </c>
      <c r="S19" s="129" t="str">
        <f>IF($W19&lt;&gt;"已通过","待确认",IF(IF(S$1=-1,"",INDEX(INDEX('Project List'!$1:$1048576,0,S$1),MATCH($A19,'Project List'!$A:$A,0)))="","未涉及",IF(S$1=-1,"",INDEX(INDEX('Project List'!$1:$1048576,0,S$1),MATCH($A19,'Project List'!$A:$A,0)))))</f>
        <v>1.0月</v>
      </c>
      <c r="T19" s="129" t="str">
        <f>IF(T$1=-1,"",INDEX(INDEX('Project List'!$1:$1048576,0,T$1),MATCH($A19,'Project List'!$A:$A,0)))</f>
        <v>是</v>
      </c>
      <c r="U19" s="129" t="str">
        <f>IF(U$1=-1,"",INDEX(INDEX('Project List'!$1:$1048576,0,U$1),MATCH($A19,'Project List'!$A:$A,0)))</f>
        <v>5、对应地铁地下隧道——挖深不超过4m且围护与区间隧道水平或竖向净距大于5m的明挖类管线工程。</v>
      </c>
      <c r="V19" s="129" t="s">
        <v>178</v>
      </c>
      <c r="W19" s="129" t="str">
        <f>INDEX('Project Plan'!$J:$J,MATCH(A19,'Project Plan'!$B:$B,0))</f>
        <v>已通过</v>
      </c>
      <c r="X19" s="129"/>
    </row>
    <row r="20" spans="1:24" ht="58" x14ac:dyDescent="0.25">
      <c r="A20" s="129">
        <v>202511028</v>
      </c>
      <c r="B20" s="129" t="str">
        <f>IF(B$1=-1,"",INDEX(INDEX('Project List'!$1:$1048576,0,B$1),MATCH($A20,'Project List'!$A:$A,0)))</f>
        <v>申江路(陇桥路-新金桥路)信息管道工程项目</v>
      </c>
      <c r="C20" s="129" t="str">
        <f>IF(C$1=-1,"",INDEX(INDEX('Project List'!$1:$1048576,0,C$1),MATCH($A20,'Project List'!$A:$A,0)))</f>
        <v>管线</v>
      </c>
      <c r="D20" s="129" t="str">
        <f>IF(D$1=-1,"",INDEX(INDEX('Project List'!$1:$1048576,0,D$1),MATCH($A20,'Project List'!$A:$A,0)))</f>
        <v>上海市信息管线有限公司</v>
      </c>
      <c r="E20" s="129" t="str">
        <f>IF(E$1=-1,"",INDEX(INDEX('Project List'!$1:$1048576,0,E$1),MATCH($A20,'Project List'!$A:$A,0)))</f>
        <v>许可类</v>
      </c>
      <c r="F20" s="129" t="str">
        <f>IF(F$1=-1,"",INDEX(INDEX('Project List'!$1:$1048576,0,F$1),MATCH($A20,'Project List'!$A:$A,0)))</f>
        <v>上海市信息管线有限公司</v>
      </c>
      <c r="G20" s="129" t="str">
        <f>IF(G$1=-1,"",INDEX(INDEX('Project List'!$1:$1048576,0,G$1),MATCH($A20,'Project List'!$A:$A,0)))</f>
        <v>浦东新区南临陇桥路北临新金桥路</v>
      </c>
      <c r="H20" s="129" t="str">
        <f>IF(H$1=-1,"",INDEX(INDEX('Project List'!$1:$1048576,0,H$1),MATCH($A20,'Project List'!$A:$A,0)))</f>
        <v>地铁运营线路9号线金桥站至金吉路站区间</v>
      </c>
      <c r="I20" s="129"/>
      <c r="J20" s="129" t="str">
        <f>IF(J$1=-1,"",INDEX(INDEX('Project List'!$1:$1048576,0,J$1),MATCH($A20,'Project List'!$A:$A,0)))</f>
        <v>待确认</v>
      </c>
      <c r="K20" s="129" t="str">
        <f>IF(K$1=-1,"",INDEX(INDEX('Project List'!$1:$1048576,0,K$1),MATCH($A20,'Project List'!$A:$A,0)))</f>
        <v>是</v>
      </c>
      <c r="L20" s="129" t="str">
        <f>IF(L$1=-1,"",INDEX(INDEX('Project List'!$1:$1048576,0,L$1),MATCH($A20,'Project List'!$A:$A,0)))</f>
        <v>否</v>
      </c>
      <c r="M20" s="130" t="str">
        <f t="shared" ref="M20" si="7">LEFT(G20,FIND("区",G20))</f>
        <v>浦东新区</v>
      </c>
      <c r="N20" s="131" t="s">
        <v>256</v>
      </c>
      <c r="O20" s="130" t="str">
        <f>MID(H20,FIND("线路",H20)+2,FIND("号线",H20)-FIND("线路",H20)-2)</f>
        <v>9</v>
      </c>
      <c r="P20" s="129" t="str">
        <f>IF($W20&lt;&gt;"已通过","待确认",IF(IF(P$1=-1,"",INDEX(INDEX('Project List'!$1:$1048576,0,P$1),MATCH($A20,'Project List'!$A:$A,0)))="","未涉及",IF(P$1=-1,"",INDEX(INDEX('Project List'!$1:$1048576,0,P$1),MATCH($A20,'Project List'!$A:$A,0)))))</f>
        <v>未涉及</v>
      </c>
      <c r="Q20" s="129" t="str">
        <f>IF($W20&lt;&gt;"已通过","待确认",IF(IF(Q$1=-1,"",INDEX(INDEX('Project List'!$1:$1048576,0,Q$1),MATCH($A20,'Project List'!$A:$A,0)))="","未涉及",IF(Q$1=-1,"",INDEX(INDEX('Project List'!$1:$1048576,0,Q$1),MATCH($A20,'Project List'!$A:$A,0)))))</f>
        <v>未涉及</v>
      </c>
      <c r="R20" s="129" t="str">
        <f>IF($W20&lt;&gt;"已通过","待确认",IF(IF(R$1=-1,"",INDEX(INDEX('Project List'!$1:$1048576,0,R$1),MATCH($A20,'Project List'!$A:$A,0)))="","未涉及",IF(R$1=-1,"",INDEX(INDEX('Project List'!$1:$1048576,0,R$1),MATCH($A20,'Project List'!$A:$A,0)))))</f>
        <v>未涉及</v>
      </c>
      <c r="S20" s="129" t="str">
        <f>IF($W20&lt;&gt;"已通过","待确认",IF(IF(S$1=-1,"",INDEX(INDEX('Project List'!$1:$1048576,0,S$1),MATCH($A20,'Project List'!$A:$A,0)))="","未涉及",IF(S$1=-1,"",INDEX(INDEX('Project List'!$1:$1048576,0,S$1),MATCH($A20,'Project List'!$A:$A,0)))))</f>
        <v>未涉及</v>
      </c>
      <c r="T20" s="129" t="str">
        <f>IF(T$1=-1,"",INDEX(INDEX('Project List'!$1:$1048576,0,T$1),MATCH($A20,'Project List'!$A:$A,0)))</f>
        <v>是</v>
      </c>
      <c r="U20" s="129" t="str">
        <f>IF(U$1=-1,"",INDEX(INDEX('Project List'!$1:$1048576,0,U$1),MATCH($A20,'Project List'!$A:$A,0)))</f>
        <v>5、对应地铁地下隧道——挖深不超过4m且围护与区间隧道水平或竖向净距大于5m的明挖类管线工程。</v>
      </c>
      <c r="V20" s="129" t="s">
        <v>178</v>
      </c>
      <c r="W20" s="129" t="str">
        <f>INDEX('Project Plan'!$J:$J,MATCH(A20,'Project Plan'!$B:$B,0))</f>
        <v>已通过</v>
      </c>
      <c r="X20" s="129"/>
    </row>
    <row r="21" spans="1:24" ht="58" x14ac:dyDescent="0.25">
      <c r="A21" s="129">
        <v>20251102901</v>
      </c>
      <c r="B21" s="129" t="str">
        <f>IF(B$1=-1,"",INDEX(INDEX('Project List'!$1:$1048576,0,B$1),MATCH($A21,'Project List'!$A:$A,0)))</f>
        <v>申江路(新金桥路-电台路)信息管道工程项目</v>
      </c>
      <c r="C21" s="129" t="str">
        <f>IF(C$1=-1,"",INDEX(INDEX('Project List'!$1:$1048576,0,C$1),MATCH($A21,'Project List'!$A:$A,0)))</f>
        <v>管线</v>
      </c>
      <c r="D21" s="129" t="str">
        <f>IF(D$1=-1,"",INDEX(INDEX('Project List'!$1:$1048576,0,D$1),MATCH($A21,'Project List'!$A:$A,0)))</f>
        <v>上海市信息管线有限公司</v>
      </c>
      <c r="E21" s="129" t="str">
        <f>IF(E$1=-1,"",INDEX(INDEX('Project List'!$1:$1048576,0,E$1),MATCH($A21,'Project List'!$A:$A,0)))</f>
        <v>许可类</v>
      </c>
      <c r="F21" s="129" t="str">
        <f>IF(F$1=-1,"",INDEX(INDEX('Project List'!$1:$1048576,0,F$1),MATCH($A21,'Project List'!$A:$A,0)))</f>
        <v>上海市信息管线有限公司</v>
      </c>
      <c r="G21" s="129" t="str">
        <f>IF(G$1=-1,"",INDEX(INDEX('Project List'!$1:$1048576,0,G$1),MATCH($A21,'Project List'!$A:$A,0)))</f>
        <v>浦东新区南临新金桥路北临电台路</v>
      </c>
      <c r="H21" s="129" t="str">
        <f>IF(H$1=-1,"",INDEX(INDEX('Project List'!$1:$1048576,0,H$1),MATCH($A21,'Project List'!$A:$A,0)))</f>
        <v>地铁运营线路14号线浦东足球场站站至金粤路站区间</v>
      </c>
      <c r="I21" s="129"/>
      <c r="J21" s="129" t="str">
        <f>IF(J$1=-1,"",INDEX(INDEX('Project List'!$1:$1048576,0,J$1),MATCH($A21,'Project List'!$A:$A,0)))</f>
        <v>待确认</v>
      </c>
      <c r="K21" s="129" t="str">
        <f>IF(K$1=-1,"",INDEX(INDEX('Project List'!$1:$1048576,0,K$1),MATCH($A21,'Project List'!$A:$A,0)))</f>
        <v>否</v>
      </c>
      <c r="L21" s="129" t="str">
        <f>IF(L$1=-1,"",INDEX(INDEX('Project List'!$1:$1048576,0,L$1),MATCH($A21,'Project List'!$A:$A,0)))</f>
        <v>否</v>
      </c>
      <c r="M21" s="130" t="str">
        <f t="shared" si="5"/>
        <v>浦东新区</v>
      </c>
      <c r="N21" s="131" t="s">
        <v>256</v>
      </c>
      <c r="O21" s="130" t="str">
        <f>MID(H21,FIND("线路",H21)+2,FIND("号线",H21)-FIND("线路",H21)-2)</f>
        <v>14</v>
      </c>
      <c r="P21" s="129" t="str">
        <f>IF($W21&lt;&gt;"已通过","待确认",IF(IF(P$1=-1,"",INDEX(INDEX('Project List'!$1:$1048576,0,P$1),MATCH($A21,'Project List'!$A:$A,0)))="","未涉及",IF(P$1=-1,"",INDEX(INDEX('Project List'!$1:$1048576,0,P$1),MATCH($A21,'Project List'!$A:$A,0)))))</f>
        <v>未涉及</v>
      </c>
      <c r="Q21" s="129" t="str">
        <f>IF($W21&lt;&gt;"已通过","待确认",IF(IF(Q$1=-1,"",INDEX(INDEX('Project List'!$1:$1048576,0,Q$1),MATCH($A21,'Project List'!$A:$A,0)))="","未涉及",IF(Q$1=-1,"",INDEX(INDEX('Project List'!$1:$1048576,0,Q$1),MATCH($A21,'Project List'!$A:$A,0)))))</f>
        <v>未涉及</v>
      </c>
      <c r="R21" s="129" t="str">
        <f>IF($W21&lt;&gt;"已通过","待确认",IF(IF(R$1=-1,"",INDEX(INDEX('Project List'!$1:$1048576,0,R$1),MATCH($A21,'Project List'!$A:$A,0)))="","未涉及",IF(R$1=-1,"",INDEX(INDEX('Project List'!$1:$1048576,0,R$1),MATCH($A21,'Project List'!$A:$A,0)))))</f>
        <v>未涉及</v>
      </c>
      <c r="S21" s="129" t="str">
        <f>IF($W21&lt;&gt;"已通过","待确认",IF(IF(S$1=-1,"",INDEX(INDEX('Project List'!$1:$1048576,0,S$1),MATCH($A21,'Project List'!$A:$A,0)))="","未涉及",IF(S$1=-1,"",INDEX(INDEX('Project List'!$1:$1048576,0,S$1),MATCH($A21,'Project List'!$A:$A,0)))))</f>
        <v>未涉及</v>
      </c>
      <c r="T21" s="129" t="str">
        <f>IF(T$1=-1,"",INDEX(INDEX('Project List'!$1:$1048576,0,T$1),MATCH($A21,'Project List'!$A:$A,0)))</f>
        <v>是</v>
      </c>
      <c r="U21" s="129" t="str">
        <f>IF(U$1=-1,"",INDEX(INDEX('Project List'!$1:$1048576,0,U$1),MATCH($A21,'Project List'!$A:$A,0)))</f>
        <v>5、对应地铁地下隧道——挖深不超过4m且围护与区间隧道水平或竖向净距大于5m的明挖类管线工程。</v>
      </c>
      <c r="V21" s="129" t="s">
        <v>178</v>
      </c>
      <c r="W21" s="129" t="str">
        <f>INDEX('Project Plan'!$J:$J,MATCH(A21,'Project Plan'!$B:$B,0))</f>
        <v>已通过</v>
      </c>
      <c r="X21" s="129"/>
    </row>
    <row r="22" spans="1:24" x14ac:dyDescent="0.25">
      <c r="A22" s="155"/>
    </row>
    <row r="23" spans="1:24" x14ac:dyDescent="0.25">
      <c r="A23" s="155"/>
    </row>
  </sheetData>
  <phoneticPr fontId="15" type="noConversion"/>
  <conditionalFormatting sqref="A12">
    <cfRule type="duplicateValues" dxfId="6" priority="7"/>
  </conditionalFormatting>
  <conditionalFormatting sqref="A13">
    <cfRule type="duplicateValues" dxfId="5" priority="5"/>
  </conditionalFormatting>
  <conditionalFormatting sqref="A14:A16">
    <cfRule type="duplicateValues" dxfId="4" priority="4"/>
  </conditionalFormatting>
  <conditionalFormatting sqref="A17">
    <cfRule type="duplicateValues" dxfId="3" priority="3"/>
  </conditionalFormatting>
  <conditionalFormatting sqref="A18:A19">
    <cfRule type="duplicateValues" dxfId="2" priority="2"/>
  </conditionalFormatting>
  <conditionalFormatting sqref="A22:A1048576 A1:A11">
    <cfRule type="duplicateValues" dxfId="1" priority="9"/>
  </conditionalFormatting>
  <conditionalFormatting sqref="A20:A21">
    <cfRule type="duplicateValues" dxfId="0" priority="1"/>
  </conditionalFormatting>
  <dataValidations count="1">
    <dataValidation type="list" allowBlank="1" showInputMessage="1" showErrorMessage="1" sqref="V3:V21" xr:uid="{00000000-0002-0000-0300-000000000000}">
      <formula1>"是,否"</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C29"/>
  <sheetViews>
    <sheetView workbookViewId="0">
      <selection activeCell="E94" sqref="E94"/>
    </sheetView>
  </sheetViews>
  <sheetFormatPr defaultColWidth="8.81640625" defaultRowHeight="12.5" x14ac:dyDescent="0.25"/>
  <cols>
    <col min="1" max="1" width="5.54296875" customWidth="1"/>
    <col min="2" max="2" width="82.1796875" customWidth="1"/>
  </cols>
  <sheetData>
    <row r="1" spans="1:3" ht="30.25" customHeight="1" x14ac:dyDescent="0.25">
      <c r="A1" s="1" t="s">
        <v>25</v>
      </c>
      <c r="B1" s="1"/>
    </row>
    <row r="2" spans="1:3" ht="15.5" x14ac:dyDescent="0.35">
      <c r="B2" s="2"/>
    </row>
    <row r="3" spans="1:3" ht="15.5" x14ac:dyDescent="0.35">
      <c r="A3" s="3"/>
      <c r="B3" s="4" t="s">
        <v>26</v>
      </c>
      <c r="C3" s="3"/>
    </row>
    <row r="4" spans="1:3" ht="14" x14ac:dyDescent="0.3">
      <c r="A4" s="5"/>
      <c r="B4" s="6" t="s">
        <v>27</v>
      </c>
      <c r="C4" s="5"/>
    </row>
    <row r="5" spans="1:3" ht="15.5" x14ac:dyDescent="0.35">
      <c r="A5" s="5"/>
      <c r="B5" s="7"/>
      <c r="C5" s="5"/>
    </row>
    <row r="6" spans="1:3" ht="15.5" x14ac:dyDescent="0.35">
      <c r="A6" s="5"/>
      <c r="B6" s="8" t="s">
        <v>28</v>
      </c>
      <c r="C6" s="5"/>
    </row>
    <row r="7" spans="1:3" ht="15.5" x14ac:dyDescent="0.35">
      <c r="A7" s="5"/>
      <c r="B7" s="7"/>
      <c r="C7" s="5"/>
    </row>
    <row r="8" spans="1:3" ht="31" x14ac:dyDescent="0.35">
      <c r="A8" s="5"/>
      <c r="B8" s="7" t="s">
        <v>29</v>
      </c>
      <c r="C8" s="5"/>
    </row>
    <row r="9" spans="1:3" ht="15.5" x14ac:dyDescent="0.35">
      <c r="A9" s="5"/>
      <c r="B9" s="7"/>
      <c r="C9" s="5"/>
    </row>
    <row r="10" spans="1:3" ht="46.5" x14ac:dyDescent="0.35">
      <c r="A10" s="5"/>
      <c r="B10" s="7" t="s">
        <v>30</v>
      </c>
      <c r="C10" s="5"/>
    </row>
    <row r="11" spans="1:3" ht="15.5" x14ac:dyDescent="0.35">
      <c r="A11" s="5"/>
      <c r="B11" s="7"/>
      <c r="C11" s="5"/>
    </row>
    <row r="12" spans="1:3" ht="46.5" x14ac:dyDescent="0.35">
      <c r="A12" s="5"/>
      <c r="B12" s="7" t="s">
        <v>31</v>
      </c>
      <c r="C12" s="5"/>
    </row>
    <row r="13" spans="1:3" ht="15.5" x14ac:dyDescent="0.35">
      <c r="A13" s="5"/>
      <c r="B13" s="7"/>
      <c r="C13" s="5"/>
    </row>
    <row r="14" spans="1:3" ht="62" x14ac:dyDescent="0.35">
      <c r="A14" s="5"/>
      <c r="B14" s="7" t="s">
        <v>32</v>
      </c>
      <c r="C14" s="5"/>
    </row>
    <row r="15" spans="1:3" ht="15.5" x14ac:dyDescent="0.35">
      <c r="A15" s="5"/>
      <c r="B15" s="7"/>
      <c r="C15" s="5"/>
    </row>
    <row r="16" spans="1:3" ht="31" x14ac:dyDescent="0.35">
      <c r="A16" s="5"/>
      <c r="B16" s="7" t="s">
        <v>33</v>
      </c>
      <c r="C16" s="5"/>
    </row>
    <row r="17" spans="1:3" ht="15.5" x14ac:dyDescent="0.35">
      <c r="A17" s="5"/>
      <c r="B17" s="7"/>
      <c r="C17" s="5"/>
    </row>
    <row r="18" spans="1:3" ht="15.5" x14ac:dyDescent="0.35">
      <c r="A18" s="5"/>
      <c r="B18" s="8" t="s">
        <v>34</v>
      </c>
      <c r="C18" s="5"/>
    </row>
    <row r="19" spans="1:3" ht="15.5" x14ac:dyDescent="0.35">
      <c r="A19" s="5"/>
      <c r="B19" s="9" t="s">
        <v>35</v>
      </c>
      <c r="C19" s="5"/>
    </row>
    <row r="20" spans="1:3" ht="15.5" x14ac:dyDescent="0.35">
      <c r="A20" s="5"/>
      <c r="B20" s="10"/>
      <c r="C20" s="5"/>
    </row>
    <row r="21" spans="1:3" x14ac:dyDescent="0.25">
      <c r="A21" s="5"/>
      <c r="B21" s="5"/>
      <c r="C21" s="5"/>
    </row>
    <row r="22" spans="1:3" x14ac:dyDescent="0.25">
      <c r="A22" s="5"/>
      <c r="B22" s="5"/>
      <c r="C22" s="5"/>
    </row>
    <row r="23" spans="1:3" x14ac:dyDescent="0.25">
      <c r="A23" s="5"/>
      <c r="B23" s="5"/>
      <c r="C23" s="5"/>
    </row>
    <row r="24" spans="1:3" x14ac:dyDescent="0.25">
      <c r="A24" s="5"/>
      <c r="B24" s="5"/>
      <c r="C24" s="5"/>
    </row>
    <row r="25" spans="1:3" x14ac:dyDescent="0.25">
      <c r="A25" s="5"/>
      <c r="B25" s="5"/>
      <c r="C25" s="5"/>
    </row>
    <row r="26" spans="1:3" x14ac:dyDescent="0.25">
      <c r="A26" s="5"/>
      <c r="B26" s="5"/>
      <c r="C26" s="5"/>
    </row>
    <row r="27" spans="1:3" x14ac:dyDescent="0.25">
      <c r="A27" s="5"/>
      <c r="B27" s="5"/>
      <c r="C27" s="5"/>
    </row>
    <row r="28" spans="1:3" x14ac:dyDescent="0.25">
      <c r="A28" s="5"/>
      <c r="B28" s="5"/>
      <c r="C28" s="5"/>
    </row>
    <row r="29" spans="1:3" x14ac:dyDescent="0.25">
      <c r="A29" s="5"/>
      <c r="B29" s="5"/>
      <c r="C29" s="5"/>
    </row>
  </sheetData>
  <phoneticPr fontId="15" type="noConversion"/>
  <hyperlinks>
    <hyperlink ref="B4" r:id="rId1" xr:uid="{00000000-0004-0000-0400-000000000000}"/>
    <hyperlink ref="B19" r:id="rId2" xr:uid="{00000000-0004-0000-0400-000001000000}"/>
  </hyperlinks>
  <pageMargins left="0.7" right="0.7" top="0.75" bottom="0.75" header="0.3" footer="0.3"/>
  <pageSetup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TCT Client Project Document" ma:contentTypeID="0x010100725E60EF2E824CBB9F9F6219DD094B09A1B2C2D100E42541BAE294CC4DAA2DC655330B2066" ma:contentTypeVersion="22" ma:contentTypeDescription="Create a new document." ma:contentTypeScope="" ma:versionID="3628b48b6a68675bff57c32ccc1b0030">
  <xsd:schema xmlns:xsd="http://www.w3.org/2001/XMLSchema" xmlns:xs="http://www.w3.org/2001/XMLSchema" xmlns:p="http://schemas.microsoft.com/office/2006/metadata/properties" xmlns:ns1="http://schemas.microsoft.com/sharepoint/v3" xmlns:ns2="e3af3928-72d3-4b8a-b86b-2250b2499d03" xmlns:ns3="4c55f414-d229-4336-bb2f-0701d5b8237b" targetNamespace="http://schemas.microsoft.com/office/2006/metadata/properties" ma:root="true" ma:fieldsID="6dc9dff78ccbd835aceecc1ef982e692" ns1:_="" ns2:_="" ns3:_="">
    <xsd:import namespace="http://schemas.microsoft.com/sharepoint/v3"/>
    <xsd:import namespace="e3af3928-72d3-4b8a-b86b-2250b2499d03"/>
    <xsd:import namespace="4c55f414-d229-4336-bb2f-0701d5b8237b"/>
    <xsd:element name="properties">
      <xsd:complexType>
        <xsd:sequence>
          <xsd:element name="documentManagement">
            <xsd:complexType>
              <xsd:all>
                <xsd:element ref="ns2:TCT_PersonallyIdentifiableInformation" minOccurs="0"/>
                <xsd:element ref="ns2:TCT_PersonalHealthInformation" minOccurs="0"/>
                <xsd:element ref="ns2:TCT_ClientSpecialty" minOccurs="0"/>
                <xsd:element ref="ns2:TCT_ClientSpecialtyCode" minOccurs="0"/>
                <xsd:element ref="ns2:TCT_WorkDocumentReviewStatus" minOccurs="0"/>
                <xsd:element ref="ns2:TCT_PreparedBy" minOccurs="0"/>
                <xsd:element ref="ns2:TCT_PreparedDate" minOccurs="0"/>
                <xsd:element ref="ns2:TCT_PreparedByRequired" minOccurs="0"/>
                <xsd:element ref="ns2:TCT_TechnicalReviewer" minOccurs="0"/>
                <xsd:element ref="ns2:TCT_TechnicalReviewApprovalDate" minOccurs="0"/>
                <xsd:element ref="ns2:TCT_TechnicalReviewerRequired" minOccurs="0"/>
                <xsd:element ref="ns2:TCT_WorkReviewComments" minOccurs="0"/>
                <xsd:element ref="ns2:TCT_ConsultingReviewer" minOccurs="0"/>
                <xsd:element ref="ns2:TCT_ConsultingReviewApprovalDate" minOccurs="0"/>
                <xsd:element ref="ns2:TCT_ConsultingReviewerRequired" minOccurs="0"/>
                <xsd:element ref="ns2:TCT_EditorialReviewer" minOccurs="0"/>
                <xsd:element ref="ns2:TCT_EditorialReviewApprovalDate" minOccurs="0"/>
                <xsd:element ref="ns2:TCT_EditorialReviewerRequired" minOccurs="0"/>
                <xsd:element ref="ns2:TCT_SeniorPeerReviewer" minOccurs="0"/>
                <xsd:element ref="ns2:TCT_SeniorPeerReviewApprovalDate" minOccurs="0"/>
                <xsd:element ref="ns2:TCT_SeniorPeerReviewerRequired" minOccurs="0"/>
                <xsd:element ref="ns1:_dlc_Exempt" minOccurs="0"/>
                <xsd:element ref="ns1:_dlc_ExpireDateSaved" minOccurs="0"/>
                <xsd:element ref="ns1:_dlc_ExpireDate" minOccurs="0"/>
                <xsd:element ref="ns2:TCT_ProjectPhas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9" nillable="true" ma:displayName="Exempt from Policy" ma:hidden="true" ma:internalName="_dlc_Exempt" ma:readOnly="true">
      <xsd:simpleType>
        <xsd:restriction base="dms:Unknown"/>
      </xsd:simpleType>
    </xsd:element>
    <xsd:element name="_dlc_ExpireDateSaved" ma:index="30" nillable="true" ma:displayName="Original Expiration Date" ma:hidden="true" ma:internalName="_dlc_ExpireDateSaved" ma:readOnly="true">
      <xsd:simpleType>
        <xsd:restriction base="dms:DateTime"/>
      </xsd:simpleType>
    </xsd:element>
    <xsd:element name="_dlc_ExpireDate" ma:index="31" nillable="true" ma:displayName="Expiration Date" ma:hidden="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3af3928-72d3-4b8a-b86b-2250b2499d03" elementFormDefault="qualified">
    <xsd:import namespace="http://schemas.microsoft.com/office/2006/documentManagement/types"/>
    <xsd:import namespace="http://schemas.microsoft.com/office/infopath/2007/PartnerControls"/>
    <xsd:element name="TCT_PersonallyIdentifiableInformation" ma:index="8" nillable="true" ma:displayName="PII" ma:default="No" ma:description="Any data about an identifiable individual (such as date of birth or unique ID number)" ma:internalName="TCT_PersonallyIdentifiableInformation">
      <xsd:simpleType>
        <xsd:restriction base="dms:Choice">
          <xsd:enumeration value="Yes"/>
          <xsd:enumeration value="No"/>
        </xsd:restriction>
      </xsd:simpleType>
    </xsd:element>
    <xsd:element name="TCT_PersonalHealthInformation" ma:index="9" nillable="true" ma:displayName="PHI(US Only)" ma:default="No" ma:description="For US Projects Only.  Any information from a covered entity about health, coverage, benefits, or payments that can be linked to a specific individual. For details, please see the FAQ section within the Resources site" ma:internalName="TCT_PersonalHealthInformation">
      <xsd:simpleType>
        <xsd:restriction base="dms:Choice">
          <xsd:enumeration value="Yes"/>
          <xsd:enumeration value="No"/>
        </xsd:restriction>
      </xsd:simpleType>
    </xsd:element>
    <xsd:element name="TCT_ClientSpecialty" ma:index="10" nillable="true" ma:displayName="Client/Specialty" ma:internalName="TCT_ClientSpecialty">
      <xsd:simpleType>
        <xsd:restriction base="dms:Text"/>
      </xsd:simpleType>
    </xsd:element>
    <xsd:element name="TCT_ClientSpecialtyCode" ma:index="11" nillable="true" ma:displayName="Client/Specialty Code" ma:internalName="TCT_ClientSpecialtyCode">
      <xsd:simpleType>
        <xsd:restriction base="dms:Text"/>
      </xsd:simpleType>
    </xsd:element>
    <xsd:element name="TCT_WorkDocumentReviewStatus" ma:index="12" nillable="true" ma:displayName="WR Required?" ma:internalName="TCT_WorkDocumentReviewStatus">
      <xsd:simpleType>
        <xsd:restriction base="dms:Choice">
          <xsd:enumeration value="Yes"/>
          <xsd:enumeration value="No"/>
        </xsd:restriction>
      </xsd:simpleType>
    </xsd:element>
    <xsd:element name="TCT_PreparedBy" ma:index="13" nillable="true" ma:displayName="Doer" ma:internalName="TCT_PreparedBy"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CT_PreparedDate" ma:index="14" nillable="true" ma:displayName="Doer Date" ma:format="DateOnly" ma:internalName="TCT_PreparedDate">
      <xsd:simpleType>
        <xsd:restriction base="dms:DateTime"/>
      </xsd:simpleType>
    </xsd:element>
    <xsd:element name="TCT_PreparedByRequired" ma:index="15" nillable="true" ma:displayName="Doer Not Req" ma:internalName="TCT_PreparedByRequired">
      <xsd:simpleType>
        <xsd:restriction base="dms:Boolean"/>
      </xsd:simpleType>
    </xsd:element>
    <xsd:element name="TCT_TechnicalReviewer" ma:index="16" nillable="true" ma:displayName="TR" ma:internalName="TCT_TechnicalReviewer"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CT_TechnicalReviewApprovalDate" ma:index="17" nillable="true" ma:displayName="TR Date" ma:format="DateOnly" ma:internalName="TCT_TechnicalReviewApprovalDate">
      <xsd:simpleType>
        <xsd:restriction base="dms:DateTime"/>
      </xsd:simpleType>
    </xsd:element>
    <xsd:element name="TCT_TechnicalReviewerRequired" ma:index="18" nillable="true" ma:displayName="TR Not Req" ma:internalName="TCT_TechnicalReviewerRequired">
      <xsd:simpleType>
        <xsd:restriction base="dms:Boolean"/>
      </xsd:simpleType>
    </xsd:element>
    <xsd:element name="TCT_WorkReviewComments" ma:index="19" nillable="true" ma:displayName="WR Comments" ma:internalName="TCT_WorkReviewComments">
      <xsd:simpleType>
        <xsd:restriction base="dms:Note">
          <xsd:maxLength value="255"/>
        </xsd:restriction>
      </xsd:simpleType>
    </xsd:element>
    <xsd:element name="TCT_ConsultingReviewer" ma:index="20" nillable="true" ma:displayName="CR" ma:internalName="TCT_ConsultingReviewer"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CT_ConsultingReviewApprovalDate" ma:index="21" nillable="true" ma:displayName="CR Date" ma:format="DateOnly" ma:internalName="TCT_ConsultingReviewApprovalDate">
      <xsd:simpleType>
        <xsd:restriction base="dms:DateTime"/>
      </xsd:simpleType>
    </xsd:element>
    <xsd:element name="TCT_ConsultingReviewerRequired" ma:index="22" nillable="true" ma:displayName="CR Not Req" ma:internalName="TCT_ConsultingReviewerRequired">
      <xsd:simpleType>
        <xsd:restriction base="dms:Boolean"/>
      </xsd:simpleType>
    </xsd:element>
    <xsd:element name="TCT_EditorialReviewer" ma:index="23" nillable="true" ma:displayName="ER" ma:internalName="TCT_EditorialReviewer"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CT_EditorialReviewApprovalDate" ma:index="24" nillable="true" ma:displayName="ER Date" ma:format="DateOnly" ma:internalName="TCT_EditorialReviewApprovalDate">
      <xsd:simpleType>
        <xsd:restriction base="dms:DateTime"/>
      </xsd:simpleType>
    </xsd:element>
    <xsd:element name="TCT_EditorialReviewerRequired" ma:index="25" nillable="true" ma:displayName="ER Not Req" ma:internalName="TCT_EditorialReviewerRequired">
      <xsd:simpleType>
        <xsd:restriction base="dms:Boolean"/>
      </xsd:simpleType>
    </xsd:element>
    <xsd:element name="TCT_SeniorPeerReviewer" ma:index="26" nillable="true" ma:displayName="SPR" ma:internalName="TCT_SeniorPeerReviewer"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CT_SeniorPeerReviewApprovalDate" ma:index="27" nillable="true" ma:displayName="SPR Date" ma:format="DateOnly" ma:internalName="TCT_SeniorPeerReviewApprovalDate">
      <xsd:simpleType>
        <xsd:restriction base="dms:DateTime"/>
      </xsd:simpleType>
    </xsd:element>
    <xsd:element name="TCT_SeniorPeerReviewerRequired" ma:index="28" nillable="true" ma:displayName="SPR Not Req" ma:internalName="TCT_SeniorPeerReviewerRequired">
      <xsd:simpleType>
        <xsd:restriction base="dms:Boolean"/>
      </xsd:simpleType>
    </xsd:element>
    <xsd:element name="TCT_ProjectPhase" ma:index="32" nillable="true" ma:displayName="Project Phase" ma:format="Dropdown" ma:internalName="TCT_ProjectPhase">
      <xsd:simpleType>
        <xsd:restriction base="dms:Choice">
          <xsd:enumeration value="Pursue"/>
          <xsd:enumeration value="Plan, incl. Project Mgmt"/>
          <xsd:enumeration value="Deliver - Data"/>
          <xsd:enumeration value="Deliver - Internal Work"/>
          <xsd:enumeration value="Deliver - Deliverables"/>
          <xsd:enumeration value="Assess and Close"/>
        </xsd:restriction>
      </xsd:simpleType>
    </xsd:element>
  </xsd:schema>
  <xsd:schema xmlns:xsd="http://www.w3.org/2001/XMLSchema" xmlns:xs="http://www.w3.org/2001/XMLSchema" xmlns:dms="http://schemas.microsoft.com/office/2006/documentManagement/types" xmlns:pc="http://schemas.microsoft.com/office/infopath/2007/PartnerControls" targetNamespace="4c55f414-d229-4336-bb2f-0701d5b8237b" elementFormDefault="qualified">
    <xsd:import namespace="http://schemas.microsoft.com/office/2006/documentManagement/types"/>
    <xsd:import namespace="http://schemas.microsoft.com/office/infopath/2007/PartnerControls"/>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TCT Client Project Document</p:Name>
  <p:Description/>
  <p:Statement/>
  <p:PolicyItems>
    <p:PolicyItem featureId="Microsoft.Office.RecordsManagement.PolicyFeatures.Expiration" staticId="0x010100725E60EF2E824CBB9F9F6219DD094B09A1B2C2D1|-122337073" UniqueId="f2ab5f73-76ad-451e-a107-31c194aa3081">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2</number>
                  <property>Modified</property>
                  <propertyId>28cf69c5-fa48-462a-b5cd-27b6f9d2bd5f</propertyId>
                  <period>years</period>
                </formula>
                <action type="action" id="Microsoft.Office.RecordsManagement.PolicyFeatures.Expiration.Action.DeletePreviousVersions"/>
              </data>
            </stages>
          </Schedule>
        </Schedules>
      </p:CustomData>
    </p:PolicyItem>
  </p:PolicyItems>
</p:Policy>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CT_WorkReviewComments xmlns="e3af3928-72d3-4b8a-b86b-2250b2499d03" xsi:nil="true"/>
    <TCT_SeniorPeerReviewerRequired xmlns="e3af3928-72d3-4b8a-b86b-2250b2499d03" xsi:nil="true"/>
    <TCT_SeniorPeerReviewApprovalDate xmlns="e3af3928-72d3-4b8a-b86b-2250b2499d03" xsi:nil="true"/>
    <TCT_PersonalHealthInformation xmlns="e3af3928-72d3-4b8a-b86b-2250b2499d03">No</TCT_PersonalHealthInformation>
    <TCT_ProjectPhase xmlns="e3af3928-72d3-4b8a-b86b-2250b2499d03" xsi:nil="true"/>
    <TCT_EditorialReviewerRequired xmlns="e3af3928-72d3-4b8a-b86b-2250b2499d03" xsi:nil="true"/>
    <TCT_ConsultingReviewApprovalDate xmlns="e3af3928-72d3-4b8a-b86b-2250b2499d03" xsi:nil="true"/>
    <TCT_TechnicalReviewApprovalDate xmlns="e3af3928-72d3-4b8a-b86b-2250b2499d03" xsi:nil="true"/>
    <TCT_TechnicalReviewerRequired xmlns="e3af3928-72d3-4b8a-b86b-2250b2499d03" xsi:nil="true"/>
    <TCT_PersonallyIdentifiableInformation xmlns="e3af3928-72d3-4b8a-b86b-2250b2499d03">No</TCT_PersonallyIdentifiableInformation>
    <TCT_PreparedDate xmlns="e3af3928-72d3-4b8a-b86b-2250b2499d03" xsi:nil="true"/>
    <TCT_WorkDocumentReviewStatus xmlns="e3af3928-72d3-4b8a-b86b-2250b2499d03" xsi:nil="true"/>
    <TCT_PreparedByRequired xmlns="e3af3928-72d3-4b8a-b86b-2250b2499d03" xsi:nil="true"/>
    <TCT_ConsultingReviewerRequired xmlns="e3af3928-72d3-4b8a-b86b-2250b2499d03" xsi:nil="true"/>
    <TCT_EditorialReviewApprovalDate xmlns="e3af3928-72d3-4b8a-b86b-2250b2499d03" xsi:nil="true"/>
    <_dlc_ExpireDate xmlns="http://schemas.microsoft.com/sharepoint/v3">2024-09-28T09:11:43+00:00</_dlc_ExpireDate>
    <_dlc_ExpireDateSaved xmlns="http://schemas.microsoft.com/sharepoint/v3" xsi:nil="true"/>
    <TCT_SeniorPeerReviewer xmlns="e3af3928-72d3-4b8a-b86b-2250b2499d03">
      <UserInfo>
        <DisplayName/>
        <AccountId xsi:nil="true"/>
        <AccountType/>
      </UserInfo>
    </TCT_SeniorPeerReviewer>
    <TCT_PreparedBy xmlns="e3af3928-72d3-4b8a-b86b-2250b2499d03">
      <UserInfo>
        <DisplayName/>
        <AccountId xsi:nil="true"/>
        <AccountType/>
      </UserInfo>
    </TCT_PreparedBy>
    <TCT_EditorialReviewer xmlns="e3af3928-72d3-4b8a-b86b-2250b2499d03">
      <UserInfo>
        <DisplayName/>
        <AccountId xsi:nil="true"/>
        <AccountType/>
      </UserInfo>
    </TCT_EditorialReviewer>
    <TCT_ConsultingReviewer xmlns="e3af3928-72d3-4b8a-b86b-2250b2499d03">
      <UserInfo>
        <DisplayName/>
        <AccountId xsi:nil="true"/>
        <AccountType/>
      </UserInfo>
    </TCT_ConsultingReviewer>
    <TCT_TechnicalReviewer xmlns="e3af3928-72d3-4b8a-b86b-2250b2499d03">
      <UserInfo>
        <DisplayName/>
        <AccountId xsi:nil="true"/>
        <AccountType/>
      </UserInfo>
    </TCT_TechnicalReviewer>
    <TCT_ClientSpecialtyCode xmlns="e3af3928-72d3-4b8a-b86b-2250b2499d03" xsi:nil="true"/>
    <TCT_ClientSpecialty xmlns="e3af3928-72d3-4b8a-b86b-2250b2499d03" xsi:nil="true"/>
  </documentManagement>
</p:properti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spe:Receivers>
</file>

<file path=customXml/item6.xml><?xml version="1.0" encoding="utf-8"?>
<?mso-contentType ?>
<SharedContentType xmlns="Microsoft.SharePoint.Taxonomy.ContentTypeSync" SourceId="5d639306-5220-4f62-8b39-d9a537361609" ContentTypeId="0x010100725E60EF2E824CBB9F9F6219DD094B09A1B2C2D1" PreviousValue="true" LastSyncTimeStamp="2022-06-06T15:17:31.693Z"/>
</file>

<file path=customXml/itemProps1.xml><?xml version="1.0" encoding="utf-8"?>
<ds:datastoreItem xmlns:ds="http://schemas.openxmlformats.org/officeDocument/2006/customXml" ds:itemID="{BA863557-9777-4034-A16C-7A4CA656C8A1}">
  <ds:schemaRefs/>
</ds:datastoreItem>
</file>

<file path=customXml/itemProps2.xml><?xml version="1.0" encoding="utf-8"?>
<ds:datastoreItem xmlns:ds="http://schemas.openxmlformats.org/officeDocument/2006/customXml" ds:itemID="{18AD85BD-EC1C-4C29-B4FC-2DCA1EC5F0E3}">
  <ds:schemaRefs/>
</ds:datastoreItem>
</file>

<file path=customXml/itemProps3.xml><?xml version="1.0" encoding="utf-8"?>
<ds:datastoreItem xmlns:ds="http://schemas.openxmlformats.org/officeDocument/2006/customXml" ds:itemID="{570B4201-18A5-4350-9AAA-DDDA95610566}">
  <ds:schemaRefs/>
</ds:datastoreItem>
</file>

<file path=customXml/itemProps4.xml><?xml version="1.0" encoding="utf-8"?>
<ds:datastoreItem xmlns:ds="http://schemas.openxmlformats.org/officeDocument/2006/customXml" ds:itemID="{7902DEBD-6E4D-4C6D-ABA7-F0FA2EAF4489}">
  <ds:schemaRefs>
    <ds:schemaRef ds:uri="http://www.w3.org/XML/1998/namespace"/>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c55f414-d229-4336-bb2f-0701d5b8237b"/>
    <ds:schemaRef ds:uri="http://schemas.microsoft.com/sharepoint/v3"/>
    <ds:schemaRef ds:uri="e3af3928-72d3-4b8a-b86b-2250b2499d03"/>
    <ds:schemaRef ds:uri="http://schemas.microsoft.com/office/2006/metadata/properties"/>
    <ds:schemaRef ds:uri="http://purl.org/dc/elements/1.1/"/>
  </ds:schemaRefs>
</ds:datastoreItem>
</file>

<file path=customXml/itemProps5.xml><?xml version="1.0" encoding="utf-8"?>
<ds:datastoreItem xmlns:ds="http://schemas.openxmlformats.org/officeDocument/2006/customXml" ds:itemID="{62725D7D-6C1B-46F2-9FD4-DB6CC1074DEA}">
  <ds:schemaRefs/>
</ds:datastoreItem>
</file>

<file path=customXml/itemProps6.xml><?xml version="1.0" encoding="utf-8"?>
<ds:datastoreItem xmlns:ds="http://schemas.openxmlformats.org/officeDocument/2006/customXml" ds:itemID="{80CB9B3A-0012-44F4-B0D8-74CD95E79B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汇总信息项目列表</vt:lpstr>
      <vt:lpstr>Project List</vt:lpstr>
      <vt:lpstr>Project Plan</vt:lpstr>
      <vt:lpstr>Notes &amp; Inputs</vt:lpstr>
      <vt:lpstr>低风险项目</vt:lpstr>
      <vt:lpstr>TermsOfUse</vt:lpstr>
      <vt:lpstr>holidays</vt:lpstr>
      <vt:lpstr>'Project Plan'!prevWBS</vt:lpstr>
      <vt:lpstr>'Project Plan'!Print_Area</vt:lpstr>
      <vt:lpstr>'Project Plan'!Print_Titles</vt:lpstr>
      <vt:lpstr>ROLES</vt:lpstr>
      <vt:lpstr>START</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MARK ~</cp:lastModifiedBy>
  <cp:lastPrinted>2022-07-28T03:37:00Z</cp:lastPrinted>
  <dcterms:created xsi:type="dcterms:W3CDTF">2010-06-09T16:05:00Z</dcterms:created>
  <dcterms:modified xsi:type="dcterms:W3CDTF">2025-11-25T08:48:10Z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y fmtid="{D5CDD505-2E9C-101B-9397-08002B2CF9AE}" pid="5" name="ContentTypeId">
    <vt:lpwstr>0x010100725E60EF2E824CBB9F9F6219DD094B09A1B2C2D100E42541BAE294CC4DAA2DC655330B2066</vt:lpwstr>
  </property>
  <property fmtid="{D5CDD505-2E9C-101B-9397-08002B2CF9AE}" pid="6" name="MSIP_Label_d347b247-e90e-43a3-9d7b-004f14ae6873_Enabled">
    <vt:lpwstr>true</vt:lpwstr>
  </property>
  <property fmtid="{D5CDD505-2E9C-101B-9397-08002B2CF9AE}" pid="7" name="MSIP_Label_d347b247-e90e-43a3-9d7b-004f14ae6873_SetDate">
    <vt:lpwstr>2021-12-07T04:08:18Z</vt:lpwstr>
  </property>
  <property fmtid="{D5CDD505-2E9C-101B-9397-08002B2CF9AE}" pid="8" name="MSIP_Label_d347b247-e90e-43a3-9d7b-004f14ae6873_Method">
    <vt:lpwstr>Standard</vt:lpwstr>
  </property>
  <property fmtid="{D5CDD505-2E9C-101B-9397-08002B2CF9AE}" pid="9" name="MSIP_Label_d347b247-e90e-43a3-9d7b-004f14ae6873_Name">
    <vt:lpwstr>d347b247-e90e-43a3-9d7b-004f14ae6873</vt:lpwstr>
  </property>
  <property fmtid="{D5CDD505-2E9C-101B-9397-08002B2CF9AE}" pid="10" name="MSIP_Label_d347b247-e90e-43a3-9d7b-004f14ae6873_SiteId">
    <vt:lpwstr>76e3921f-489b-4b7e-9547-9ea297add9b5</vt:lpwstr>
  </property>
  <property fmtid="{D5CDD505-2E9C-101B-9397-08002B2CF9AE}" pid="11" name="MSIP_Label_d347b247-e90e-43a3-9d7b-004f14ae6873_ActionId">
    <vt:lpwstr>d8b86ddd-c8b0-4a92-ba96-be974f243084</vt:lpwstr>
  </property>
  <property fmtid="{D5CDD505-2E9C-101B-9397-08002B2CF9AE}" pid="12" name="MSIP_Label_d347b247-e90e-43a3-9d7b-004f14ae6873_ContentBits">
    <vt:lpwstr>0</vt:lpwstr>
  </property>
  <property fmtid="{D5CDD505-2E9C-101B-9397-08002B2CF9AE}" pid="13" name="_dlc_policyId">
    <vt:lpwstr>0x010100725E60EF2E824CBB9F9F6219DD094B09A3B1|1698352568</vt:lpwstr>
  </property>
  <property fmtid="{D5CDD505-2E9C-101B-9397-08002B2CF9AE}" pid="14" name="ItemRetentionFormula">
    <vt:lpwstr>&lt;formula id="Microsoft.Office.RecordsManagement.PolicyFeatures.Expiration.Formula.BuiltIn"&gt;&lt;number&gt;2&lt;/number&gt;&lt;property&gt;Modified&lt;/property&gt;&lt;propertyId&gt;28cf69c5-fa48-462a-b5cd-27b6f9d2bd5f&lt;/propertyId&gt;&lt;period&gt;years&lt;/period&gt;&lt;/formula&gt;</vt:lpwstr>
  </property>
  <property fmtid="{D5CDD505-2E9C-101B-9397-08002B2CF9AE}" pid="15" name="ICV">
    <vt:lpwstr>0A4414A92A8F4D318EE97B221658993D</vt:lpwstr>
  </property>
  <property fmtid="{D5CDD505-2E9C-101B-9397-08002B2CF9AE}" pid="16" name="KSOProductBuildVer">
    <vt:lpwstr>2052-12.1.0.22529</vt:lpwstr>
  </property>
  <property fmtid="{D5CDD505-2E9C-101B-9397-08002B2CF9AE}" pid="17" name="KSOReadingLayout">
    <vt:bool>true</vt:bool>
  </property>
</Properties>
</file>